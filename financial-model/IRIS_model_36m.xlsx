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Inputs" sheetId="2" state="visible" r:id="rId4"/>
    <sheet name="Summary" sheetId="3" state="visible" r:id="rId5"/>
    <sheet name="Market" sheetId="4" state="visible" r:id="rId6"/>
    <sheet name="Base" sheetId="5" state="visible" r:id="rId7"/>
    <sheet name="Conservativ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<sst xmlns="http://schemas.openxmlformats.org/spreadsheetml/2006/main" count="637" uniqueCount="339">
  <si>
    <t xml:space="preserve">IRIS market and revenue model</t>
  </si>
  <si>
    <t xml:space="preserve">Version of 24 October 2026. Prepared for the IRIS investor deck (slides 14, 15, A4 and A5).</t>
  </si>
  <si>
    <t xml:space="preserve">How to use it</t>
  </si>
  <si>
    <t xml:space="preserve">Change inputs on the Inputs sheet only. Blue text = an input. Black = a formula. Green = a link from another sheet.</t>
  </si>
  <si>
    <t xml:space="preserve">Yellow cells are open decisions (round size, founder salaries, use of funds) and should be confirmed.</t>
  </si>
  <si>
    <t xml:space="preserve">Base and Conservative run side by side: each has its own column on Inputs and its own monthly sheet.</t>
  </si>
  <si>
    <t xml:space="preserve">Sheets</t>
  </si>
  <si>
    <t xml:space="preserve">Summary: three years for both cases: revenue, costs, operating result, cash, drivers and the market.</t>
  </si>
  <si>
    <t xml:space="preserve">Market: total, serviceable and obtainable market, built from IBISWorld's figures.</t>
  </si>
  <si>
    <t xml:space="preserve">Inputs: every assumption, with its type (reported, estimate, company decision) and source.</t>
  </si>
  <si>
    <t xml:space="preserve">Base and Conservative: 36 months of drivers, revenue, costs and cash.</t>
  </si>
  <si>
    <t xml:space="preserve">What the model assumes</t>
  </si>
  <si>
    <t xml:space="preserve">Two revenue lines. Builders pay a monthly subscription per project. Once a lender makes IRIS a condition of a facility, the developer pays a fee in basis points on the facility, and builder, developer and lender each use their own view.</t>
  </si>
  <si>
    <t xml:space="preserve">No assessment or services revenue. No revenue from insurers or surety providers. No R&amp;D tax refund.</t>
  </si>
  <si>
    <t xml:space="preserve">Conventions: A$, excluding GST. Months count from the close of this round. Costs are paid in the month incurred.</t>
  </si>
  <si>
    <t xml:space="preserve">Formatting follows standard financial-model conventions; it can be restyled to match another template.</t>
  </si>
  <si>
    <t xml:space="preserve">IRIS market and revenue model: inputs</t>
  </si>
  <si>
    <t xml:space="preserve">Blue cells are inputs; change them here and every other sheet recalculates. Yellow cells are open decisions. A$, excluding GST. Month 1 is the month the round closes.</t>
  </si>
  <si>
    <t xml:space="preserve">Input</t>
  </si>
  <si>
    <t xml:space="preserve">Base</t>
  </si>
  <si>
    <t xml:space="preserve">Conservative</t>
  </si>
  <si>
    <t xml:space="preserve">Unit</t>
  </si>
  <si>
    <t xml:space="preserve">Type</t>
  </si>
  <si>
    <t xml:space="preserve">Source or basis</t>
  </si>
  <si>
    <t xml:space="preserve">1. Building work a year, Australia (straight from IBISWorld)</t>
  </si>
  <si>
    <t xml:space="preserve">Multi-unit: medium-rise flats and units (4–8 storeys)</t>
  </si>
  <si>
    <t xml:space="preserve">same</t>
  </si>
  <si>
    <t xml:space="preserve">A$bn a year</t>
  </si>
  <si>
    <t xml:space="preserve">Reported</t>
  </si>
  <si>
    <t xml:space="preserve">IBISWorld E3019 Multi-Unit Apartment and Townhouse Construction in Australia (2026), products and services segmentation, 2025-26: $18.9bn (30.7%).</t>
  </si>
  <si>
    <t xml:space="preserve">Multi-unit: high-rise and super high-rise apartments (9+ storeys)</t>
  </si>
  <si>
    <t xml:space="preserve">IBISWorld E3019 Multi-Unit Apartment and Townhouse Construction in Australia (2026), 2025-26: $14.6bn (23.7%).</t>
  </si>
  <si>
    <t xml:space="preserve">Multi-unit: low-rise apartments (1–3 storeys)</t>
  </si>
  <si>
    <t xml:space="preserve">IBISWorld E3019 Multi-Unit Apartment and Townhouse Construction in Australia (2026), 2025-26: $4.2bn (6.9%). Out of scope: mostly jobs under $10M.</t>
  </si>
  <si>
    <t xml:space="preserve">Multi-unit: townhouses, other dwellings and conversions</t>
  </si>
  <si>
    <t xml:space="preserve">IBISWorld E3019 Multi-Unit Apartment and Townhouse Construction in Australia (2026), 2025-26: $23.8bn (38.7%). Out of scope: mostly small jobs by house builders.</t>
  </si>
  <si>
    <t xml:space="preserve">C&amp;I: factory and industrial buildings</t>
  </si>
  <si>
    <t xml:space="preserve">IBISWorld E3021 Commercial and Industrial Building Construction in Australia (2026), products and services segmentation, 2026-27: $19.4bn (27.4%).</t>
  </si>
  <si>
    <t xml:space="preserve">C&amp;I: offices</t>
  </si>
  <si>
    <t xml:space="preserve">IBISWorld E3021 Commercial and Industrial Building Construction in Australia (2026), 2026-27: $16.2bn (22.8%).</t>
  </si>
  <si>
    <t xml:space="preserve">C&amp;I: retail buildings</t>
  </si>
  <si>
    <t xml:space="preserve">IBISWorld E3021 Commercial and Industrial Building Construction in Australia (2026), 2026-27: $11.8bn (16.7%).</t>
  </si>
  <si>
    <t xml:space="preserve">C&amp;I: entertainment and recreational buildings</t>
  </si>
  <si>
    <t xml:space="preserve">IBISWorld E3021 Commercial and Industrial Building Construction in Australia (2026), 2026-27: $6.0bn (8.4%).</t>
  </si>
  <si>
    <t xml:space="preserve">C&amp;I: hotels</t>
  </si>
  <si>
    <t xml:space="preserve">IBISWorld E3021 Commercial and Industrial Building Construction in Australia (2026), 2026-27: $4.8bn (6.8%).</t>
  </si>
  <si>
    <t xml:space="preserve">C&amp;I: other business premises</t>
  </si>
  <si>
    <t xml:space="preserve">IBISWorld E3021 Commercial and Industrial Building Construction in Australia (2026), 2026-27: $12.7bn (17.9%).</t>
  </si>
  <si>
    <t xml:space="preserve">2. Scope, who funds it, and Queensland</t>
  </si>
  <si>
    <t xml:space="preserve">Share of C&amp;I building work on jobs of $10M or more</t>
  </si>
  <si>
    <t xml:space="preserve">% of value</t>
  </si>
  <si>
    <t xml:space="preserve">Estimate</t>
  </si>
  <si>
    <t xml:space="preserve">Estimate; IBISWorld does not split by job size. Cross-check: the top 50 builders alone started 722 projects worth $43.9bn in 2025, averaging about $61M (Hubexo Construction League, April 2026).</t>
  </si>
  <si>
    <t xml:space="preserve">Multi-unit work funded by developers</t>
  </si>
  <si>
    <t xml:space="preserve">IBISWorld E3019 Multi-Unit Apartment and Townhouse Construction in Australia (2026), major markets, 2025-26: large developers and REITs 48.8% plus owners and small developers 39.2%.</t>
  </si>
  <si>
    <t xml:space="preserve">C&amp;I work funded by developers</t>
  </si>
  <si>
    <t xml:space="preserve">IBISWorld E3021 Commercial and Industrial Building Construction in Australia (2026), major markets, 2026-27: commercial property developers 59.8% plus industrial property developers 13.3%. End users (23.3%) mostly fund from their own balance sheets.</t>
  </si>
  <si>
    <t xml:space="preserve">Queensland share of multi-unit building work</t>
  </si>
  <si>
    <t xml:space="preserve">IBISWorld E3019 Multi-Unit Apartment and Townhouse Construction in Australia (2026), geographic breakdown: Queensland 19.6% of the value of apartment and townhouse work done, 2024-25.</t>
  </si>
  <si>
    <t xml:space="preserve">Queensland share of C&amp;I building work</t>
  </si>
  <si>
    <t xml:space="preserve">Reported (proxy)</t>
  </si>
  <si>
    <t xml:space="preserve">IBISWorld E3021 Commercial and Industrial Building Construction in Australia (2026), geographic breakdown: Queensland has 18.2% of establishments, and its share of work done is below its one-fifth population share. Used as the proxy until ABS state tables are pulled.</t>
  </si>
  <si>
    <t xml:space="preserve">3. From building work to live projects and facilities</t>
  </si>
  <si>
    <t xml:space="preserve">Average build period, apartments</t>
  </si>
  <si>
    <t xml:space="preserve">months</t>
  </si>
  <si>
    <t xml:space="preserve">Measured</t>
  </si>
  <si>
    <t xml:space="preserve">ABS average completion time for apartments, FY2025-26: 9.54 quarters, about 29 months (10.03 quarters in Queensland), via The Good Builder citing the ABS data cube, October 2026.</t>
  </si>
  <si>
    <t xml:space="preserve">Average build period, C&amp;I jobs of $10M or more</t>
  </si>
  <si>
    <t xml:space="preserve">Estimate. Cross-check: ABS non-residential work yet to be done was $76.4bn at March 2026 against about $70bn of work a year (ABS).</t>
  </si>
  <si>
    <t xml:space="preserve">Average contract value, jobs of $10M or more</t>
  </si>
  <si>
    <t xml:space="preserve">A$M</t>
  </si>
  <si>
    <t xml:space="preserve">Estimate. Cross-checks: Brisbane and Gold Coast apartment projects on hold average about $48M (PRD via The Good Builder, September 2026); Qualitas senior construction loans average about $39M (June 2026); the top 50 builders' 2025 starts averaged about $61M (Hubexo).</t>
  </si>
  <si>
    <t xml:space="preserve">Construction facility as a share of the build contract</t>
  </si>
  <si>
    <t xml:space="preserve">x</t>
  </si>
  <si>
    <t xml:space="preserve">Estimate. Lenders fund about 60–80% of total development cost (banks 60–70%, non-banks 75–80%: Feasly and Vertex Capital, 2026), and the build is roughly two-thirds of that cost, so the facility is about the size of the build contract.</t>
  </si>
  <si>
    <t xml:space="preserve">Contract security held on a live job</t>
  </si>
  <si>
    <t xml:space="preserve">% of contract</t>
  </si>
  <si>
    <t xml:space="preserve">Estimate: 5% security is common under AS 4000-style head contracts. Used only for the insurer and surety memo line.</t>
  </si>
  <si>
    <t xml:space="preserve">Surety and bank guarantee fee</t>
  </si>
  <si>
    <t xml:space="preserve">% a year</t>
  </si>
  <si>
    <t xml:space="preserve">Brokers quote 0.5–1.5% a year for surety and 0.5–2% for bank guarantees (BCS Broking, 2026). Memo line only.</t>
  </si>
  <si>
    <t xml:space="preserve">Developers' spend on quantity surveying services</t>
  </si>
  <si>
    <t xml:space="preserve">A$M a year</t>
  </si>
  <si>
    <t xml:space="preserve">IBISWorld OD5428 Quantity Surveying Services in Australia (2026), major markets, 2025-26: property developers $711.0m (26.7%). Context only.</t>
  </si>
  <si>
    <t xml:space="preserve">4. Pricing</t>
  </si>
  <si>
    <t xml:space="preserve">Builder subscription, per project</t>
  </si>
  <si>
    <t xml:space="preserve">A$ a month</t>
  </si>
  <si>
    <t xml:space="preserve">Company</t>
  </si>
  <si>
    <t xml:space="preserve">Company pricing for builder deployments (slide 10).</t>
  </si>
  <si>
    <t xml:space="preserve">Facility fee</t>
  </si>
  <si>
    <t xml:space="preserve">bps a year</t>
  </si>
  <si>
    <t xml:space="preserve">Charged on the facility limit, paid by the developer as a condition of the facility. Range tested: 10–20 bps.</t>
  </si>
  <si>
    <t xml:space="preserve">Facility fee floor</t>
  </si>
  <si>
    <t xml:space="preserve">Floor so a small facility pays no less than a builder subscription.</t>
  </si>
  <si>
    <t xml:space="preserve">Facility fee cap</t>
  </si>
  <si>
    <t xml:space="preserve">Cap so the fee stays proportionate on large facilities (Textura caps its fee for the same reason).</t>
  </si>
  <si>
    <t xml:space="preserve">Average facility, first lenders</t>
  </si>
  <si>
    <t xml:space="preserve">Estimate for South East Queensland facilities. Qualitas senior construction loans average about $39M (June 2026); Brisbane apartment projects on hold average about $35M (PRD, September 2026).</t>
  </si>
  <si>
    <t xml:space="preserve">5. Builder deployments</t>
  </si>
  <si>
    <t xml:space="preserve">R&amp;D deployments go live</t>
  </si>
  <si>
    <t xml:space="preserve">month</t>
  </si>
  <si>
    <t xml:space="preserve">Slide 17: two builder deployments live by month 3.</t>
  </si>
  <si>
    <t xml:space="preserve">R&amp;D deployments</t>
  </si>
  <si>
    <t xml:space="preserve">projects</t>
  </si>
  <si>
    <t xml:space="preserve">Slide 17.</t>
  </si>
  <si>
    <t xml:space="preserve">Builder deployments start paying</t>
  </si>
  <si>
    <t xml:space="preserve">After the position reconciles to the builder's own cost reports.</t>
  </si>
  <si>
    <t xml:space="preserve">New paid builder projects a month, Year 1</t>
  </si>
  <si>
    <t xml:space="preserve">projects a month</t>
  </si>
  <si>
    <t xml:space="preserve">Founder-led sales, after the first paid month.</t>
  </si>
  <si>
    <t xml:space="preserve">New paid builder projects a month, Year 2</t>
  </si>
  <si>
    <t xml:space="preserve">With a commercial lead once the seed round closes.</t>
  </si>
  <si>
    <t xml:space="preserve">New paid builder projects a month, Year 3</t>
  </si>
  <si>
    <t xml:space="preserve">Paid builder projects lost a month</t>
  </si>
  <si>
    <t xml:space="preserve">% a month</t>
  </si>
  <si>
    <t xml:space="preserve">Projects end, but builders usually move the subscription to their next job.</t>
  </si>
  <si>
    <t xml:space="preserve">6. Lender mandates</t>
  </si>
  <si>
    <t xml:space="preserve">Lender 1 (design partner): first facility under the condition</t>
  </si>
  <si>
    <t xml:space="preserve">Slide 17: first facility at month 12.</t>
  </si>
  <si>
    <t xml:space="preserve">Lender 2 starts</t>
  </si>
  <si>
    <t xml:space="preserve">Lenders 2 onwards follow a live result at lender 1. 999 means not in this case.</t>
  </si>
  <si>
    <t xml:space="preserve">Lender 3 starts</t>
  </si>
  <si>
    <t xml:space="preserve">Lender 4 starts</t>
  </si>
  <si>
    <t xml:space="preserve">Lender 5 starts</t>
  </si>
  <si>
    <t xml:space="preserve">New facilities under the condition, per lender a month</t>
  </si>
  <si>
    <t xml:space="preserve">facilities a month</t>
  </si>
  <si>
    <t xml:space="preserve">New facilities, extensions and refinances; the condition goes on when a loan is papered.</t>
  </si>
  <si>
    <t xml:space="preserve">Facility term</t>
  </si>
  <si>
    <t xml:space="preserve">Facilities leave the count at completion.</t>
  </si>
  <si>
    <t xml:space="preserve">7. Team</t>
  </si>
  <si>
    <t xml:space="preserve">Founders, full-time from month 1</t>
  </si>
  <si>
    <t xml:space="preserve">people</t>
  </si>
  <si>
    <t xml:space="preserve">Founder salary, each</t>
  </si>
  <si>
    <t xml:space="preserve">A$ a year</t>
  </si>
  <si>
    <t xml:space="preserve">Open decision</t>
  </si>
  <si>
    <t xml:space="preserve">Pending the founders' decision on the round and salaries.</t>
  </si>
  <si>
    <t xml:space="preserve">On-costs on salaries</t>
  </si>
  <si>
    <t xml:space="preserve">% of salary</t>
  </si>
  <si>
    <t xml:space="preserve">Superannuation guarantee, 12% from 1 July 2025. Payroll tax stays below the Queensland threshold in these years.</t>
  </si>
  <si>
    <t xml:space="preserve">Hires: salary and the month each role starts (999 = not hired in that case). Edit in the table below.</t>
  </si>
  <si>
    <t xml:space="preserve">Role</t>
  </si>
  <si>
    <t xml:space="preserve">Salary, A$ a year</t>
  </si>
  <si>
    <t xml:space="preserve">Base start</t>
  </si>
  <si>
    <t xml:space="preserve">Conservative start</t>
  </si>
  <si>
    <t xml:space="preserve">Why</t>
  </si>
  <si>
    <t xml:space="preserve">Commercial lead (lenders and builders)</t>
  </si>
  <si>
    <t xml:space="preserve">Runs lender onboarding and builder sales. Hired once the seed round closes.</t>
  </si>
  <si>
    <t xml:space="preserve">Engineer 1 (integrations)</t>
  </si>
  <si>
    <t xml:space="preserve">Connectors and platform reliability as live projects grow.</t>
  </si>
  <si>
    <t xml:space="preserve">Deployment analyst 1</t>
  </si>
  <si>
    <t xml:space="preserve">Onboards projects; checks each position against source records.</t>
  </si>
  <si>
    <t xml:space="preserve">Engineer 2</t>
  </si>
  <si>
    <t xml:space="preserve">Deployment analyst 2</t>
  </si>
  <si>
    <t xml:space="preserve">Engineer 3</t>
  </si>
  <si>
    <t xml:space="preserve">Deployment analyst 3</t>
  </si>
  <si>
    <t xml:space="preserve">8. Other costs</t>
  </si>
  <si>
    <t xml:space="preserve">Platform build and R&amp;D, Year 1 (contract engineering)</t>
  </si>
  <si>
    <t xml:space="preserve">From the use of funds on slide 17; moves with the round.</t>
  </si>
  <si>
    <t xml:space="preserve">Contract engineering, Year 2</t>
  </si>
  <si>
    <t xml:space="preserve">Contract engineering, Year 3</t>
  </si>
  <si>
    <t xml:space="preserve">Cloud, models and tools, fixed</t>
  </si>
  <si>
    <t xml:space="preserve">Hosting, monitoring, development tools.</t>
  </si>
  <si>
    <t xml:space="preserve">Cloud and model use, per live project or facility</t>
  </si>
  <si>
    <t xml:space="preserve">Model inference, storage and connectors per live job.</t>
  </si>
  <si>
    <t xml:space="preserve">Security certification, Year 1</t>
  </si>
  <si>
    <t xml:space="preserve">A$</t>
  </si>
  <si>
    <t xml:space="preserve">ISO 27001 or SOC 2, needed for lender onboarding by month 6.</t>
  </si>
  <si>
    <t xml:space="preserve">Security audits, from Year 2</t>
  </si>
  <si>
    <t xml:space="preserve">Surveillance audits and penetration testing.</t>
  </si>
  <si>
    <t xml:space="preserve">Insurance, Year 1</t>
  </si>
  <si>
    <t xml:space="preserve">Professional indemnity and cyber; inside the contingency line of the use of funds.</t>
  </si>
  <si>
    <t xml:space="preserve">Insurance, Year 2</t>
  </si>
  <si>
    <t xml:space="preserve">Lender reliance raises professional indemnity cover.</t>
  </si>
  <si>
    <t xml:space="preserve">Insurance, Year 3</t>
  </si>
  <si>
    <t xml:space="preserve">Sales and customer success, Year 1</t>
  </si>
  <si>
    <t xml:space="preserve">From the use of funds on slide 17.</t>
  </si>
  <si>
    <t xml:space="preserve">Sales and customer success, Year 2</t>
  </si>
  <si>
    <t xml:space="preserve">Sales and customer success, Year 3</t>
  </si>
  <si>
    <t xml:space="preserve">Legal, accounting and IP, Year 1</t>
  </si>
  <si>
    <t xml:space="preserve">Legal, accounting and IP, Year 2</t>
  </si>
  <si>
    <t xml:space="preserve">Legal, accounting and IP, Year 3</t>
  </si>
  <si>
    <t xml:space="preserve">Contingency, Year 1</t>
  </si>
  <si>
    <t xml:space="preserve">Use of funds contingency of $46K, less $10K of Year 1 insurance shown above.</t>
  </si>
  <si>
    <t xml:space="preserve">Contingency, Years 2–3</t>
  </si>
  <si>
    <t xml:space="preserve">% of costs</t>
  </si>
  <si>
    <t xml:space="preserve">9. Funding</t>
  </si>
  <si>
    <t xml:space="preserve">This round (SAFE), received month 1</t>
  </si>
  <si>
    <t xml:space="preserve">Pending the founders' decision on round size and cap.</t>
  </si>
  <si>
    <t xml:space="preserve">Seed round</t>
  </si>
  <si>
    <t xml:space="preserve">Slide 17: seed raise in months 15–18 on the mandate result.</t>
  </si>
  <si>
    <t xml:space="preserve">Seed round received</t>
  </si>
  <si>
    <t xml:space="preserve">Slide 17: months 15–18, after the first facility under the condition.</t>
  </si>
  <si>
    <t xml:space="preserve">R&amp;D tax incentive refund (not counted)</t>
  </si>
  <si>
    <t xml:space="preserve">Left at zero: the refundable R&amp;D offset would add cash in the year after spend, but is not counted here.</t>
  </si>
  <si>
    <t xml:space="preserve">IRIS: three-year summary</t>
  </si>
  <si>
    <t xml:space="preserve">A$ unless stated. Year 1 starts the month the round closes. Linked from the Base and Conservative sheets.</t>
  </si>
  <si>
    <t xml:space="preserve">Year 1</t>
  </si>
  <si>
    <t xml:space="preserve">Year 2</t>
  </si>
  <si>
    <t xml:space="preserve">Year 3</t>
  </si>
  <si>
    <t xml:space="preserve">Revenue</t>
  </si>
  <si>
    <t xml:space="preserve">Builder subscriptions</t>
  </si>
  <si>
    <t xml:space="preserve">Facility fees (developer-paid, lender condition)</t>
  </si>
  <si>
    <t xml:space="preserve">Total revenue</t>
  </si>
  <si>
    <t xml:space="preserve">Costs</t>
  </si>
  <si>
    <t xml:space="preserve">People</t>
  </si>
  <si>
    <t xml:space="preserve">Platform build, cloud and security</t>
  </si>
  <si>
    <t xml:space="preserve">Sales, legal and insurance</t>
  </si>
  <si>
    <t xml:space="preserve">Contingency</t>
  </si>
  <si>
    <t xml:space="preserve">Total costs</t>
  </si>
  <si>
    <t xml:space="preserve">Result and cash</t>
  </si>
  <si>
    <t xml:space="preserve">Operating result</t>
  </si>
  <si>
    <t xml:space="preserve">Cash at year end, before the seed round</t>
  </si>
  <si>
    <t xml:space="preserve">Cash at year end, after the seed round</t>
  </si>
  <si>
    <t xml:space="preserve">Drivers at year end</t>
  </si>
  <si>
    <t xml:space="preserve">Paid builder projects</t>
  </si>
  <si>
    <t xml:space="preserve">Facilities under the condition</t>
  </si>
  <si>
    <t xml:space="preserve">Lenders with the condition</t>
  </si>
  <si>
    <t xml:space="preserve">Team</t>
  </si>
  <si>
    <t xml:space="preserve">Annualised revenue at year end</t>
  </si>
  <si>
    <t xml:space="preserve">Funding check</t>
  </si>
  <si>
    <t xml:space="preserve">Lowest cash before the seed round</t>
  </si>
  <si>
    <t xml:space="preserve">First month cash runs out without the seed (99 = never)</t>
  </si>
  <si>
    <t xml:space="preserve">Lowest cash after the seed round</t>
  </si>
  <si>
    <t xml:space="preserve">Market (from the Market sheet)</t>
  </si>
  <si>
    <t xml:space="preserve">Total market (TAM), Australia, A$M a year</t>
  </si>
  <si>
    <t xml:space="preserve">Serviceable market (SAM), Queensland, A$M a year</t>
  </si>
  <si>
    <t xml:space="preserve">Obtainable (SOM), month-36 annualised revenue, A$M</t>
  </si>
  <si>
    <t xml:space="preserve">Live projects in scope, Australia</t>
  </si>
  <si>
    <t xml:space="preserve">Live projects in scope, Queensland</t>
  </si>
  <si>
    <t xml:space="preserve">What moves the result (base case)</t>
  </si>
  <si>
    <t xml:space="preserve">Year 3 facility fees for each basis point of fee</t>
  </si>
  <si>
    <t xml:space="preserve">Annualised facility fees per lender at month 36</t>
  </si>
  <si>
    <t xml:space="preserve">Annualised revenue per paid builder project</t>
  </si>
  <si>
    <t xml:space="preserve">Annualised fee per facility at month 36</t>
  </si>
  <si>
    <t xml:space="preserve">Market: total, serviceable and obtainable</t>
  </si>
  <si>
    <t xml:space="preserve">Built from IBISWorld's figures for the two industries IRIS serves. Green cells link to Inputs; black cells are formulas. Change inputs on the Inputs sheet.</t>
  </si>
  <si>
    <t xml:space="preserve">Line</t>
  </si>
  <si>
    <t xml:space="preserve">Value</t>
  </si>
  <si>
    <t xml:space="preserve">How it is worked out</t>
  </si>
  <si>
    <t xml:space="preserve">A. Building work a year in IRIS's scope (IBISWorld)</t>
  </si>
  <si>
    <t xml:space="preserve">Medium-rise flats and units</t>
  </si>
  <si>
    <t xml:space="preserve">A$bn</t>
  </si>
  <si>
    <t xml:space="preserve">IBISWorld E3019, 2025-26. In scope.</t>
  </si>
  <si>
    <t xml:space="preserve">High-rise and super high-rise apartments</t>
  </si>
  <si>
    <t xml:space="preserve">Low-rise apartments</t>
  </si>
  <si>
    <t xml:space="preserve">IBISWorld E3019. Out of scope: mostly under $10M a job.</t>
  </si>
  <si>
    <t xml:space="preserve">Townhouses, other dwellings and conversions</t>
  </si>
  <si>
    <t xml:space="preserve">IBISWorld E3019. Out of scope.</t>
  </si>
  <si>
    <t xml:space="preserve">Multi-unit residential, all segments</t>
  </si>
  <si>
    <t xml:space="preserve">IBISWorld reports $61.4bn; segments sum to $61.5bn through rounding.</t>
  </si>
  <si>
    <t xml:space="preserve">Commercial and industrial building, all segments</t>
  </si>
  <si>
    <t xml:space="preserve">IBISWorld E3021, 2026-27: $70.9bn.</t>
  </si>
  <si>
    <t xml:space="preserve">Share of C&amp;I work on jobs of $10M or more</t>
  </si>
  <si>
    <t xml:space="preserve">%</t>
  </si>
  <si>
    <t xml:space="preserve">See Inputs.</t>
  </si>
  <si>
    <t xml:space="preserve">Multi-unit work in scope</t>
  </si>
  <si>
    <t xml:space="preserve">Medium-rise plus high-rise.</t>
  </si>
  <si>
    <t xml:space="preserve">C&amp;I work in scope</t>
  </si>
  <si>
    <t xml:space="preserve">All C&amp;I segments, jobs of $10M or more.</t>
  </si>
  <si>
    <t xml:space="preserve">Building work in scope, Australia</t>
  </si>
  <si>
    <t xml:space="preserve">B. From work a year to value under construction</t>
  </si>
  <si>
    <t xml:space="preserve">ABS, FY2025-26.</t>
  </si>
  <si>
    <t xml:space="preserve">Average build period, C&amp;I</t>
  </si>
  <si>
    <t xml:space="preserve">Multi-unit value under construction</t>
  </si>
  <si>
    <t xml:space="preserve">Work a year × build period: each job is live for its build period.</t>
  </si>
  <si>
    <t xml:space="preserve">C&amp;I value under construction</t>
  </si>
  <si>
    <t xml:space="preserve">Value under construction in scope, Australia</t>
  </si>
  <si>
    <t xml:space="preserve">C. Who funds it (IBISWorld major markets)</t>
  </si>
  <si>
    <t xml:space="preserve">IBISWorld E3019.</t>
  </si>
  <si>
    <t xml:space="preserve">IBISWorld E3021.</t>
  </si>
  <si>
    <t xml:space="preserve">Developer-funded value under construction</t>
  </si>
  <si>
    <t xml:space="preserve">Where a construction lender can make IRIS a condition of the facility.</t>
  </si>
  <si>
    <t xml:space="preserve">Other value under construction</t>
  </si>
  <si>
    <t xml:space="preserve">End users, government and other owners: no construction facility to condition, so builders pay.</t>
  </si>
  <si>
    <t xml:space="preserve">D. Live projects and price per project</t>
  </si>
  <si>
    <t xml:space="preserve">Value under construction ÷ average contract value.</t>
  </si>
  <si>
    <t xml:space="preserve">of which developer-funded (facility fee)</t>
  </si>
  <si>
    <t xml:space="preserve">of which other (builder subscription)</t>
  </si>
  <si>
    <t xml:space="preserve">Facility as a share of the build contract</t>
  </si>
  <si>
    <t xml:space="preserve">Base case.</t>
  </si>
  <si>
    <t xml:space="preserve">Facility fee per facility</t>
  </si>
  <si>
    <t xml:space="preserve">Average facility × fee, within the floor and cap.</t>
  </si>
  <si>
    <t xml:space="preserve">Builder subscription per project</t>
  </si>
  <si>
    <t xml:space="preserve">E. Market, A$ millions a year</t>
  </si>
  <si>
    <t xml:space="preserve">Facility fees on every developer-funded project</t>
  </si>
  <si>
    <t xml:space="preserve">Builder subscriptions on every other project</t>
  </si>
  <si>
    <t xml:space="preserve">Total market (TAM): Australia, every project in scope</t>
  </si>
  <si>
    <t xml:space="preserve">Every live job of $10M or more on IRIS.</t>
  </si>
  <si>
    <t xml:space="preserve">Queensland share of multi-unit work</t>
  </si>
  <si>
    <t xml:space="preserve">Queensland share of C&amp;I work</t>
  </si>
  <si>
    <t xml:space="preserve">Queensland developer-funded value under construction</t>
  </si>
  <si>
    <t xml:space="preserve">Queensland other value under construction</t>
  </si>
  <si>
    <t xml:space="preserve">Serviceable market (SAM): Queensland, starting in South East Queensland</t>
  </si>
  <si>
    <t xml:space="preserve">Where the founders work and the first builders and lenders are. South East Queensland is about 79% of the state's building pipeline (CSQ).</t>
  </si>
  <si>
    <t xml:space="preserve">Obtainable (SOM): annualised revenue at month 36, base case</t>
  </si>
  <si>
    <t xml:space="preserve">From the Base sheet: builders and lenders signed by the end of Year 3.</t>
  </si>
  <si>
    <t xml:space="preserve">SOM as a share of SAM</t>
  </si>
  <si>
    <t xml:space="preserve">Obtainable, conservative case</t>
  </si>
  <si>
    <t xml:space="preserve">F. Context and what is not counted</t>
  </si>
  <si>
    <t xml:space="preserve">IBISWorld OD5428, 2025-26.</t>
  </si>
  <si>
    <t xml:space="preserve">IRIS total market against that spend</t>
  </si>
  <si>
    <t xml:space="preserve">Contract security on live jobs in scope (not counted)</t>
  </si>
  <si>
    <t xml:space="preserve">Value under construction × security share. Insurers and surety providers carry it; IRIS earns nothing from them in this model.</t>
  </si>
  <si>
    <t xml:space="preserve">Fees paid on that security a year (not counted)</t>
  </si>
  <si>
    <t xml:space="preserve">Base case: monthly</t>
  </si>
  <si>
    <t xml:space="preserve">Monthly drivers, revenue, costs and cash. Formulas only; inputs are on the Inputs sheet. A$.</t>
  </si>
  <si>
    <t xml:space="preserve">Month</t>
  </si>
  <si>
    <t xml:space="preserve">Year</t>
  </si>
  <si>
    <t xml:space="preserve">total or year end</t>
  </si>
  <si>
    <t xml:space="preserve">Builder deployments</t>
  </si>
  <si>
    <t xml:space="preserve">R&amp;D deployments live (unpaid)</t>
  </si>
  <si>
    <t xml:space="preserve">New paid builder projects</t>
  </si>
  <si>
    <t xml:space="preserve">Paid builder projects, end of month</t>
  </si>
  <si>
    <t xml:space="preserve">Builder subscription revenue</t>
  </si>
  <si>
    <t xml:space="preserve">Lender mandates</t>
  </si>
  <si>
    <t xml:space="preserve">lenders</t>
  </si>
  <si>
    <t xml:space="preserve">New facilities under the condition</t>
  </si>
  <si>
    <t xml:space="preserve">facilities</t>
  </si>
  <si>
    <t xml:space="preserve">Facilities completing</t>
  </si>
  <si>
    <t xml:space="preserve">Facilities under the condition, end of month</t>
  </si>
  <si>
    <t xml:space="preserve">Fee per facility</t>
  </si>
  <si>
    <t xml:space="preserve">Facility fee revenue</t>
  </si>
  <si>
    <t xml:space="preserve">Annualised revenue (month × 12)</t>
  </si>
  <si>
    <t xml:space="preserve">Team and costs</t>
  </si>
  <si>
    <t xml:space="preserve">Team, end of month</t>
  </si>
  <si>
    <t xml:space="preserve">Founders</t>
  </si>
  <si>
    <t xml:space="preserve">Hires</t>
  </si>
  <si>
    <t xml:space="preserve">Platform build and contract engineering</t>
  </si>
  <si>
    <t xml:space="preserve">Cloud, models and tools</t>
  </si>
  <si>
    <t xml:space="preserve">Security certification and audits</t>
  </si>
  <si>
    <t xml:space="preserve">Insurance</t>
  </si>
  <si>
    <t xml:space="preserve">Sales and customer success</t>
  </si>
  <si>
    <t xml:space="preserve">Legal, accounting and IP</t>
  </si>
  <si>
    <t xml:space="preserve">Cash</t>
  </si>
  <si>
    <t xml:space="preserve">This round</t>
  </si>
  <si>
    <t xml:space="preserve">Cash before the seed round, end of month</t>
  </si>
  <si>
    <t xml:space="preserve">Cash after the seed round, end of month</t>
  </si>
  <si>
    <t xml:space="preserve">Helper: month if cash before seed is negative</t>
  </si>
  <si>
    <t xml:space="preserve">Conservative case: monthly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</si>
</sst>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;\(#,##0.0\);\-"/>
    <numFmt numFmtId="166" formatCode="0.0%;\(0.0%\);\-"/>
    <numFmt numFmtId="167" formatCode="0"/>
    <numFmt numFmtId="168" formatCode="0.00\x"/>
    <numFmt numFmtId="169" formatCode="#,##0;\(#,##0\);\-"/>
    <numFmt numFmtId="170" formatCode="\$#,##0;&quot;($&quot;#,##0\);\-"/>
    <numFmt numFmtId="171" formatCode="0.0"/>
    <numFmt numFmtId="172" formatCode="\$#,##0.0;&quot;($&quot;#,##0.0\);\-"/>
    <numFmt numFmtId="173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6F6A6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6F6A63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BE9E4"/>
      </patternFill>
    </fill>
    <fill>
      <patternFill patternType="solid">
        <fgColor rgb="FFE7E2D8"/>
        <bgColor rgb="FFFBE9E4"/>
      </patternFill>
    </fill>
    <fill>
      <patternFill patternType="solid">
        <fgColor rgb="FFFFFF00"/>
        <bgColor rgb="FFFFFF00"/>
      </patternFill>
    </fill>
    <fill>
      <patternFill patternType="solid">
        <fgColor rgb="FFFBE9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E4"/>
      <rgbColor rgb="FFCCFFFF"/>
      <rgbColor rgb="FF660066"/>
      <rgbColor rgb="FFFF8080"/>
      <rgbColor rgb="FF0066CC"/>
      <rgbColor rgb="FFE7E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F6A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5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4" t="s">
        <v>6</v>
      </c>
    </row>
    <row r="10" customFormat="false" ht="15" hidden="false" customHeight="false" outlineLevel="0" collapsed="false">
      <c r="A10" s="5" t="s">
        <v>7</v>
      </c>
    </row>
    <row r="11" customFormat="false" ht="15" hidden="false" customHeight="false" outlineLevel="0" collapsed="false">
      <c r="A11" s="5" t="s">
        <v>8</v>
      </c>
    </row>
    <row r="12" customFormat="false" ht="15" hidden="false" customHeight="false" outlineLevel="0" collapsed="false">
      <c r="A12" s="5" t="s">
        <v>9</v>
      </c>
    </row>
    <row r="13" customFormat="false" ht="15" hidden="false" customHeight="false" outlineLevel="0" collapsed="false">
      <c r="A13" s="5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23.85" hidden="false" customHeight="false" outlineLevel="0" collapsed="false">
      <c r="A16" s="5" t="s">
        <v>12</v>
      </c>
    </row>
    <row r="17" customFormat="false" ht="15" hidden="false" customHeight="false" outlineLevel="0" collapsed="false">
      <c r="A17" s="5" t="s">
        <v>13</v>
      </c>
    </row>
    <row r="18" customFormat="false" ht="15" hidden="false" customHeight="false" outlineLevel="0" collapsed="false">
      <c r="A18" s="5" t="s">
        <v>14</v>
      </c>
    </row>
    <row r="19" customFormat="false" ht="15" hidden="false" customHeight="false" outlineLevel="0" collapsed="false">
      <c r="A19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10"/>
  </cols>
  <sheetData>
    <row r="1" customFormat="false" ht="17.35" hidden="false" customHeight="false" outlineLevel="0" collapsed="false">
      <c r="A1" s="6" t="s">
        <v>16</v>
      </c>
    </row>
    <row r="2" customFormat="false" ht="15" hidden="false" customHeight="false" outlineLevel="0" collapsed="false">
      <c r="A2" s="7" t="s">
        <v>17</v>
      </c>
    </row>
    <row r="4" customFormat="false" ht="15" hidden="false" customHeight="false" outlineLevel="0" collapsed="false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23</v>
      </c>
    </row>
    <row r="6" customFormat="false" ht="15" hidden="false" customHeight="false" outlineLevel="0" collapsed="false">
      <c r="A6" s="9" t="s">
        <v>24</v>
      </c>
      <c r="B6" s="10"/>
      <c r="C6" s="10"/>
      <c r="D6" s="10"/>
      <c r="E6" s="10"/>
      <c r="F6" s="10"/>
    </row>
    <row r="7" customFormat="false" ht="23.85" hidden="false" customHeight="false" outlineLevel="0" collapsed="false">
      <c r="A7" s="11" t="s">
        <v>25</v>
      </c>
      <c r="B7" s="12" t="n">
        <v>18.9</v>
      </c>
      <c r="C7" s="13" t="s">
        <v>26</v>
      </c>
      <c r="D7" s="14" t="s">
        <v>27</v>
      </c>
      <c r="E7" s="14" t="s">
        <v>28</v>
      </c>
      <c r="F7" s="15" t="s">
        <v>29</v>
      </c>
    </row>
    <row r="8" customFormat="false" ht="15" hidden="false" customHeight="false" outlineLevel="0" collapsed="false">
      <c r="A8" s="11" t="s">
        <v>30</v>
      </c>
      <c r="B8" s="12" t="n">
        <v>14.6</v>
      </c>
      <c r="C8" s="13" t="s">
        <v>26</v>
      </c>
      <c r="D8" s="14" t="s">
        <v>27</v>
      </c>
      <c r="E8" s="14" t="s">
        <v>28</v>
      </c>
      <c r="F8" s="15" t="s">
        <v>31</v>
      </c>
    </row>
    <row r="9" customFormat="false" ht="23.85" hidden="false" customHeight="false" outlineLevel="0" collapsed="false">
      <c r="A9" s="11" t="s">
        <v>32</v>
      </c>
      <c r="B9" s="12" t="n">
        <v>4.2</v>
      </c>
      <c r="C9" s="13" t="s">
        <v>26</v>
      </c>
      <c r="D9" s="14" t="s">
        <v>27</v>
      </c>
      <c r="E9" s="14" t="s">
        <v>28</v>
      </c>
      <c r="F9" s="15" t="s">
        <v>33</v>
      </c>
    </row>
    <row r="10" customFormat="false" ht="23.85" hidden="false" customHeight="false" outlineLevel="0" collapsed="false">
      <c r="A10" s="11" t="s">
        <v>34</v>
      </c>
      <c r="B10" s="12" t="n">
        <v>23.8</v>
      </c>
      <c r="C10" s="13" t="s">
        <v>26</v>
      </c>
      <c r="D10" s="14" t="s">
        <v>27</v>
      </c>
      <c r="E10" s="14" t="s">
        <v>28</v>
      </c>
      <c r="F10" s="15" t="s">
        <v>35</v>
      </c>
    </row>
    <row r="11" customFormat="false" ht="23.85" hidden="false" customHeight="false" outlineLevel="0" collapsed="false">
      <c r="A11" s="11" t="s">
        <v>36</v>
      </c>
      <c r="B11" s="12" t="n">
        <v>19.4</v>
      </c>
      <c r="C11" s="13" t="s">
        <v>26</v>
      </c>
      <c r="D11" s="14" t="s">
        <v>27</v>
      </c>
      <c r="E11" s="14" t="s">
        <v>28</v>
      </c>
      <c r="F11" s="15" t="s">
        <v>37</v>
      </c>
    </row>
    <row r="12" customFormat="false" ht="15" hidden="false" customHeight="false" outlineLevel="0" collapsed="false">
      <c r="A12" s="11" t="s">
        <v>38</v>
      </c>
      <c r="B12" s="12" t="n">
        <v>16.2</v>
      </c>
      <c r="C12" s="13" t="s">
        <v>26</v>
      </c>
      <c r="D12" s="14" t="s">
        <v>27</v>
      </c>
      <c r="E12" s="14" t="s">
        <v>28</v>
      </c>
      <c r="F12" s="15" t="s">
        <v>39</v>
      </c>
    </row>
    <row r="13" customFormat="false" ht="15" hidden="false" customHeight="false" outlineLevel="0" collapsed="false">
      <c r="A13" s="11" t="s">
        <v>40</v>
      </c>
      <c r="B13" s="12" t="n">
        <v>11.8</v>
      </c>
      <c r="C13" s="13" t="s">
        <v>26</v>
      </c>
      <c r="D13" s="14" t="s">
        <v>27</v>
      </c>
      <c r="E13" s="14" t="s">
        <v>28</v>
      </c>
      <c r="F13" s="15" t="s">
        <v>41</v>
      </c>
    </row>
    <row r="14" customFormat="false" ht="15" hidden="false" customHeight="false" outlineLevel="0" collapsed="false">
      <c r="A14" s="11" t="s">
        <v>42</v>
      </c>
      <c r="B14" s="12" t="n">
        <v>6</v>
      </c>
      <c r="C14" s="13" t="s">
        <v>26</v>
      </c>
      <c r="D14" s="14" t="s">
        <v>27</v>
      </c>
      <c r="E14" s="14" t="s">
        <v>28</v>
      </c>
      <c r="F14" s="15" t="s">
        <v>43</v>
      </c>
    </row>
    <row r="15" customFormat="false" ht="15" hidden="false" customHeight="false" outlineLevel="0" collapsed="false">
      <c r="A15" s="11" t="s">
        <v>44</v>
      </c>
      <c r="B15" s="12" t="n">
        <v>4.8</v>
      </c>
      <c r="C15" s="13" t="s">
        <v>26</v>
      </c>
      <c r="D15" s="14" t="s">
        <v>27</v>
      </c>
      <c r="E15" s="14" t="s">
        <v>28</v>
      </c>
      <c r="F15" s="15" t="s">
        <v>45</v>
      </c>
    </row>
    <row r="16" customFormat="false" ht="15" hidden="false" customHeight="false" outlineLevel="0" collapsed="false">
      <c r="A16" s="11" t="s">
        <v>46</v>
      </c>
      <c r="B16" s="12" t="n">
        <v>12.7</v>
      </c>
      <c r="C16" s="13" t="s">
        <v>26</v>
      </c>
      <c r="D16" s="14" t="s">
        <v>27</v>
      </c>
      <c r="E16" s="14" t="s">
        <v>28</v>
      </c>
      <c r="F16" s="15" t="s">
        <v>47</v>
      </c>
    </row>
    <row r="18" customFormat="false" ht="15" hidden="false" customHeight="false" outlineLevel="0" collapsed="false">
      <c r="A18" s="9" t="s">
        <v>48</v>
      </c>
      <c r="B18" s="10"/>
      <c r="C18" s="10"/>
      <c r="D18" s="10"/>
      <c r="E18" s="10"/>
      <c r="F18" s="10"/>
    </row>
    <row r="19" customFormat="false" ht="23.85" hidden="false" customHeight="false" outlineLevel="0" collapsed="false">
      <c r="A19" s="11" t="s">
        <v>49</v>
      </c>
      <c r="B19" s="16" t="n">
        <v>0.65</v>
      </c>
      <c r="C19" s="13" t="s">
        <v>26</v>
      </c>
      <c r="D19" s="14" t="s">
        <v>50</v>
      </c>
      <c r="E19" s="14" t="s">
        <v>51</v>
      </c>
      <c r="F19" s="15" t="s">
        <v>52</v>
      </c>
    </row>
    <row r="20" customFormat="false" ht="23.85" hidden="false" customHeight="false" outlineLevel="0" collapsed="false">
      <c r="A20" s="11" t="s">
        <v>53</v>
      </c>
      <c r="B20" s="16" t="n">
        <v>0.88</v>
      </c>
      <c r="C20" s="13" t="s">
        <v>26</v>
      </c>
      <c r="D20" s="14" t="s">
        <v>50</v>
      </c>
      <c r="E20" s="14" t="s">
        <v>28</v>
      </c>
      <c r="F20" s="15" t="s">
        <v>54</v>
      </c>
    </row>
    <row r="21" customFormat="false" ht="23.85" hidden="false" customHeight="false" outlineLevel="0" collapsed="false">
      <c r="A21" s="11" t="s">
        <v>55</v>
      </c>
      <c r="B21" s="16" t="n">
        <v>0.731</v>
      </c>
      <c r="C21" s="13" t="s">
        <v>26</v>
      </c>
      <c r="D21" s="14" t="s">
        <v>50</v>
      </c>
      <c r="E21" s="14" t="s">
        <v>28</v>
      </c>
      <c r="F21" s="15" t="s">
        <v>56</v>
      </c>
    </row>
    <row r="22" customFormat="false" ht="23.85" hidden="false" customHeight="false" outlineLevel="0" collapsed="false">
      <c r="A22" s="11" t="s">
        <v>57</v>
      </c>
      <c r="B22" s="16" t="n">
        <v>0.196</v>
      </c>
      <c r="C22" s="13" t="s">
        <v>26</v>
      </c>
      <c r="D22" s="14" t="s">
        <v>50</v>
      </c>
      <c r="E22" s="14" t="s">
        <v>28</v>
      </c>
      <c r="F22" s="15" t="s">
        <v>58</v>
      </c>
    </row>
    <row r="23" customFormat="false" ht="23.85" hidden="false" customHeight="false" outlineLevel="0" collapsed="false">
      <c r="A23" s="11" t="s">
        <v>59</v>
      </c>
      <c r="B23" s="16" t="n">
        <v>0.182</v>
      </c>
      <c r="C23" s="13" t="s">
        <v>26</v>
      </c>
      <c r="D23" s="14" t="s">
        <v>50</v>
      </c>
      <c r="E23" s="14" t="s">
        <v>60</v>
      </c>
      <c r="F23" s="15" t="s">
        <v>61</v>
      </c>
    </row>
    <row r="25" customFormat="false" ht="15" hidden="false" customHeight="false" outlineLevel="0" collapsed="false">
      <c r="A25" s="9" t="s">
        <v>62</v>
      </c>
      <c r="B25" s="10"/>
      <c r="C25" s="10"/>
      <c r="D25" s="10"/>
      <c r="E25" s="10"/>
      <c r="F25" s="10"/>
    </row>
    <row r="26" customFormat="false" ht="23.85" hidden="false" customHeight="false" outlineLevel="0" collapsed="false">
      <c r="A26" s="11" t="s">
        <v>63</v>
      </c>
      <c r="B26" s="17" t="n">
        <v>29</v>
      </c>
      <c r="C26" s="13" t="s">
        <v>26</v>
      </c>
      <c r="D26" s="14" t="s">
        <v>64</v>
      </c>
      <c r="E26" s="14" t="s">
        <v>65</v>
      </c>
      <c r="F26" s="15" t="s">
        <v>66</v>
      </c>
    </row>
    <row r="27" customFormat="false" ht="15" hidden="false" customHeight="false" outlineLevel="0" collapsed="false">
      <c r="A27" s="11" t="s">
        <v>67</v>
      </c>
      <c r="B27" s="17" t="n">
        <v>24</v>
      </c>
      <c r="C27" s="13" t="s">
        <v>26</v>
      </c>
      <c r="D27" s="14" t="s">
        <v>64</v>
      </c>
      <c r="E27" s="14" t="s">
        <v>51</v>
      </c>
      <c r="F27" s="15" t="s">
        <v>68</v>
      </c>
    </row>
    <row r="28" customFormat="false" ht="35.05" hidden="false" customHeight="false" outlineLevel="0" collapsed="false">
      <c r="A28" s="11" t="s">
        <v>69</v>
      </c>
      <c r="B28" s="12" t="n">
        <v>40</v>
      </c>
      <c r="C28" s="13" t="s">
        <v>26</v>
      </c>
      <c r="D28" s="14" t="s">
        <v>70</v>
      </c>
      <c r="E28" s="14" t="s">
        <v>51</v>
      </c>
      <c r="F28" s="15" t="s">
        <v>71</v>
      </c>
    </row>
    <row r="29" customFormat="false" ht="23.85" hidden="false" customHeight="false" outlineLevel="0" collapsed="false">
      <c r="A29" s="11" t="s">
        <v>72</v>
      </c>
      <c r="B29" s="18" t="n">
        <v>1</v>
      </c>
      <c r="C29" s="13" t="s">
        <v>26</v>
      </c>
      <c r="D29" s="14" t="s">
        <v>73</v>
      </c>
      <c r="E29" s="14" t="s">
        <v>51</v>
      </c>
      <c r="F29" s="15" t="s">
        <v>74</v>
      </c>
    </row>
    <row r="30" customFormat="false" ht="15" hidden="false" customHeight="false" outlineLevel="0" collapsed="false">
      <c r="A30" s="11" t="s">
        <v>75</v>
      </c>
      <c r="B30" s="16" t="n">
        <v>0.05</v>
      </c>
      <c r="C30" s="13" t="s">
        <v>26</v>
      </c>
      <c r="D30" s="14" t="s">
        <v>76</v>
      </c>
      <c r="E30" s="14" t="s">
        <v>51</v>
      </c>
      <c r="F30" s="15" t="s">
        <v>77</v>
      </c>
    </row>
    <row r="31" customFormat="false" ht="15" hidden="false" customHeight="false" outlineLevel="0" collapsed="false">
      <c r="A31" s="11" t="s">
        <v>78</v>
      </c>
      <c r="B31" s="16" t="n">
        <v>0.01</v>
      </c>
      <c r="C31" s="13" t="s">
        <v>26</v>
      </c>
      <c r="D31" s="14" t="s">
        <v>79</v>
      </c>
      <c r="E31" s="14" t="s">
        <v>28</v>
      </c>
      <c r="F31" s="15" t="s">
        <v>80</v>
      </c>
    </row>
    <row r="32" customFormat="false" ht="23.85" hidden="false" customHeight="false" outlineLevel="0" collapsed="false">
      <c r="A32" s="11" t="s">
        <v>81</v>
      </c>
      <c r="B32" s="19" t="n">
        <v>711</v>
      </c>
      <c r="C32" s="13" t="s">
        <v>26</v>
      </c>
      <c r="D32" s="14" t="s">
        <v>82</v>
      </c>
      <c r="E32" s="14" t="s">
        <v>28</v>
      </c>
      <c r="F32" s="15" t="s">
        <v>83</v>
      </c>
    </row>
    <row r="34" customFormat="false" ht="15" hidden="false" customHeight="false" outlineLevel="0" collapsed="false">
      <c r="A34" s="9" t="s">
        <v>84</v>
      </c>
      <c r="B34" s="10"/>
      <c r="C34" s="10"/>
      <c r="D34" s="10"/>
      <c r="E34" s="10"/>
      <c r="F34" s="10"/>
    </row>
    <row r="35" customFormat="false" ht="15" hidden="false" customHeight="false" outlineLevel="0" collapsed="false">
      <c r="A35" s="11" t="s">
        <v>85</v>
      </c>
      <c r="B35" s="20" t="n">
        <v>3500</v>
      </c>
      <c r="C35" s="20" t="n">
        <v>3500</v>
      </c>
      <c r="D35" s="14" t="s">
        <v>86</v>
      </c>
      <c r="E35" s="14" t="s">
        <v>87</v>
      </c>
      <c r="F35" s="15" t="s">
        <v>88</v>
      </c>
    </row>
    <row r="36" customFormat="false" ht="15" hidden="false" customHeight="false" outlineLevel="0" collapsed="false">
      <c r="A36" s="11" t="s">
        <v>89</v>
      </c>
      <c r="B36" s="21" t="n">
        <v>15</v>
      </c>
      <c r="C36" s="21" t="n">
        <v>12.5</v>
      </c>
      <c r="D36" s="14" t="s">
        <v>90</v>
      </c>
      <c r="E36" s="14" t="s">
        <v>87</v>
      </c>
      <c r="F36" s="15" t="s">
        <v>91</v>
      </c>
    </row>
    <row r="37" customFormat="false" ht="15" hidden="false" customHeight="false" outlineLevel="0" collapsed="false">
      <c r="A37" s="11" t="s">
        <v>92</v>
      </c>
      <c r="B37" s="20" t="n">
        <v>3500</v>
      </c>
      <c r="C37" s="20" t="n">
        <v>3500</v>
      </c>
      <c r="D37" s="14" t="s">
        <v>86</v>
      </c>
      <c r="E37" s="14" t="s">
        <v>87</v>
      </c>
      <c r="F37" s="15" t="s">
        <v>93</v>
      </c>
    </row>
    <row r="38" customFormat="false" ht="15" hidden="false" customHeight="false" outlineLevel="0" collapsed="false">
      <c r="A38" s="11" t="s">
        <v>94</v>
      </c>
      <c r="B38" s="20" t="n">
        <v>10000</v>
      </c>
      <c r="C38" s="20" t="n">
        <v>10000</v>
      </c>
      <c r="D38" s="14" t="s">
        <v>86</v>
      </c>
      <c r="E38" s="14" t="s">
        <v>87</v>
      </c>
      <c r="F38" s="15" t="s">
        <v>95</v>
      </c>
    </row>
    <row r="39" customFormat="false" ht="23.85" hidden="false" customHeight="false" outlineLevel="0" collapsed="false">
      <c r="A39" s="11" t="s">
        <v>96</v>
      </c>
      <c r="B39" s="12" t="n">
        <v>35</v>
      </c>
      <c r="C39" s="12" t="n">
        <v>30</v>
      </c>
      <c r="D39" s="14" t="s">
        <v>70</v>
      </c>
      <c r="E39" s="14" t="s">
        <v>51</v>
      </c>
      <c r="F39" s="15" t="s">
        <v>97</v>
      </c>
    </row>
    <row r="41" customFormat="false" ht="15" hidden="false" customHeight="false" outlineLevel="0" collapsed="false">
      <c r="A41" s="9" t="s">
        <v>98</v>
      </c>
      <c r="B41" s="10"/>
      <c r="C41" s="10"/>
      <c r="D41" s="10"/>
      <c r="E41" s="10"/>
      <c r="F41" s="10"/>
    </row>
    <row r="42" customFormat="false" ht="15" hidden="false" customHeight="false" outlineLevel="0" collapsed="false">
      <c r="A42" s="11" t="s">
        <v>99</v>
      </c>
      <c r="B42" s="17" t="n">
        <v>3</v>
      </c>
      <c r="C42" s="17" t="n">
        <v>3</v>
      </c>
      <c r="D42" s="14" t="s">
        <v>100</v>
      </c>
      <c r="E42" s="14" t="s">
        <v>87</v>
      </c>
      <c r="F42" s="15" t="s">
        <v>101</v>
      </c>
    </row>
    <row r="43" customFormat="false" ht="15" hidden="false" customHeight="false" outlineLevel="0" collapsed="false">
      <c r="A43" s="11" t="s">
        <v>102</v>
      </c>
      <c r="B43" s="17" t="n">
        <v>2</v>
      </c>
      <c r="C43" s="17" t="n">
        <v>2</v>
      </c>
      <c r="D43" s="14" t="s">
        <v>103</v>
      </c>
      <c r="E43" s="14" t="s">
        <v>87</v>
      </c>
      <c r="F43" s="15" t="s">
        <v>104</v>
      </c>
    </row>
    <row r="44" customFormat="false" ht="15" hidden="false" customHeight="false" outlineLevel="0" collapsed="false">
      <c r="A44" s="11" t="s">
        <v>105</v>
      </c>
      <c r="B44" s="17" t="n">
        <v>6</v>
      </c>
      <c r="C44" s="17" t="n">
        <v>7</v>
      </c>
      <c r="D44" s="14" t="s">
        <v>100</v>
      </c>
      <c r="E44" s="14" t="s">
        <v>87</v>
      </c>
      <c r="F44" s="15" t="s">
        <v>106</v>
      </c>
    </row>
    <row r="45" customFormat="false" ht="15" hidden="false" customHeight="false" outlineLevel="0" collapsed="false">
      <c r="A45" s="11" t="s">
        <v>107</v>
      </c>
      <c r="B45" s="12" t="n">
        <v>1</v>
      </c>
      <c r="C45" s="12" t="n">
        <v>0.5</v>
      </c>
      <c r="D45" s="14" t="s">
        <v>108</v>
      </c>
      <c r="E45" s="14" t="s">
        <v>87</v>
      </c>
      <c r="F45" s="15" t="s">
        <v>109</v>
      </c>
    </row>
    <row r="46" customFormat="false" ht="15" hidden="false" customHeight="false" outlineLevel="0" collapsed="false">
      <c r="A46" s="11" t="s">
        <v>110</v>
      </c>
      <c r="B46" s="12" t="n">
        <v>1.25</v>
      </c>
      <c r="C46" s="12" t="n">
        <v>0.75</v>
      </c>
      <c r="D46" s="14" t="s">
        <v>108</v>
      </c>
      <c r="E46" s="14" t="s">
        <v>87</v>
      </c>
      <c r="F46" s="15" t="s">
        <v>111</v>
      </c>
    </row>
    <row r="47" customFormat="false" ht="15" hidden="false" customHeight="false" outlineLevel="0" collapsed="false">
      <c r="A47" s="11" t="s">
        <v>112</v>
      </c>
      <c r="B47" s="12" t="n">
        <v>1.5</v>
      </c>
      <c r="C47" s="12" t="n">
        <v>1</v>
      </c>
      <c r="D47" s="14" t="s">
        <v>108</v>
      </c>
      <c r="E47" s="14" t="s">
        <v>87</v>
      </c>
      <c r="F47" s="15"/>
    </row>
    <row r="48" customFormat="false" ht="15" hidden="false" customHeight="false" outlineLevel="0" collapsed="false">
      <c r="A48" s="11" t="s">
        <v>113</v>
      </c>
      <c r="B48" s="16" t="n">
        <v>0.01</v>
      </c>
      <c r="C48" s="16" t="n">
        <v>0.02</v>
      </c>
      <c r="D48" s="14" t="s">
        <v>114</v>
      </c>
      <c r="E48" s="14" t="s">
        <v>51</v>
      </c>
      <c r="F48" s="15" t="s">
        <v>115</v>
      </c>
    </row>
    <row r="50" customFormat="false" ht="15" hidden="false" customHeight="false" outlineLevel="0" collapsed="false">
      <c r="A50" s="9" t="s">
        <v>116</v>
      </c>
      <c r="B50" s="10"/>
      <c r="C50" s="10"/>
      <c r="D50" s="10"/>
      <c r="E50" s="10"/>
      <c r="F50" s="10"/>
    </row>
    <row r="51" customFormat="false" ht="15" hidden="false" customHeight="false" outlineLevel="0" collapsed="false">
      <c r="A51" s="11" t="s">
        <v>117</v>
      </c>
      <c r="B51" s="17" t="n">
        <v>12</v>
      </c>
      <c r="C51" s="17" t="n">
        <v>18</v>
      </c>
      <c r="D51" s="14" t="s">
        <v>100</v>
      </c>
      <c r="E51" s="14" t="s">
        <v>87</v>
      </c>
      <c r="F51" s="15" t="s">
        <v>118</v>
      </c>
    </row>
    <row r="52" customFormat="false" ht="15" hidden="false" customHeight="false" outlineLevel="0" collapsed="false">
      <c r="A52" s="11" t="s">
        <v>119</v>
      </c>
      <c r="B52" s="17" t="n">
        <v>21</v>
      </c>
      <c r="C52" s="17" t="n">
        <v>27</v>
      </c>
      <c r="D52" s="14" t="s">
        <v>100</v>
      </c>
      <c r="E52" s="14" t="s">
        <v>87</v>
      </c>
      <c r="F52" s="15" t="s">
        <v>120</v>
      </c>
    </row>
    <row r="53" customFormat="false" ht="15" hidden="false" customHeight="false" outlineLevel="0" collapsed="false">
      <c r="A53" s="11" t="s">
        <v>121</v>
      </c>
      <c r="B53" s="17" t="n">
        <v>27</v>
      </c>
      <c r="C53" s="17" t="n">
        <v>33</v>
      </c>
      <c r="D53" s="14" t="s">
        <v>100</v>
      </c>
      <c r="E53" s="14" t="s">
        <v>87</v>
      </c>
      <c r="F53" s="15"/>
    </row>
    <row r="54" customFormat="false" ht="15" hidden="false" customHeight="false" outlineLevel="0" collapsed="false">
      <c r="A54" s="11" t="s">
        <v>122</v>
      </c>
      <c r="B54" s="17" t="n">
        <v>33</v>
      </c>
      <c r="C54" s="17" t="n">
        <v>999</v>
      </c>
      <c r="D54" s="14" t="s">
        <v>100</v>
      </c>
      <c r="E54" s="14" t="s">
        <v>87</v>
      </c>
      <c r="F54" s="15"/>
    </row>
    <row r="55" customFormat="false" ht="15" hidden="false" customHeight="false" outlineLevel="0" collapsed="false">
      <c r="A55" s="11" t="s">
        <v>123</v>
      </c>
      <c r="B55" s="17" t="n">
        <v>999</v>
      </c>
      <c r="C55" s="17" t="n">
        <v>999</v>
      </c>
      <c r="D55" s="14" t="s">
        <v>100</v>
      </c>
      <c r="E55" s="14" t="s">
        <v>87</v>
      </c>
      <c r="F55" s="15"/>
    </row>
    <row r="56" customFormat="false" ht="15" hidden="false" customHeight="false" outlineLevel="0" collapsed="false">
      <c r="A56" s="11" t="s">
        <v>124</v>
      </c>
      <c r="B56" s="12" t="n">
        <v>0.75</v>
      </c>
      <c r="C56" s="12" t="n">
        <v>0.5</v>
      </c>
      <c r="D56" s="14" t="s">
        <v>125</v>
      </c>
      <c r="E56" s="14" t="s">
        <v>51</v>
      </c>
      <c r="F56" s="15" t="s">
        <v>126</v>
      </c>
    </row>
    <row r="57" customFormat="false" ht="15" hidden="false" customHeight="false" outlineLevel="0" collapsed="false">
      <c r="A57" s="11" t="s">
        <v>127</v>
      </c>
      <c r="B57" s="17" t="n">
        <v>24</v>
      </c>
      <c r="C57" s="17" t="n">
        <v>24</v>
      </c>
      <c r="D57" s="14" t="s">
        <v>64</v>
      </c>
      <c r="E57" s="14" t="s">
        <v>51</v>
      </c>
      <c r="F57" s="15" t="s">
        <v>128</v>
      </c>
    </row>
    <row r="59" customFormat="false" ht="15" hidden="false" customHeight="false" outlineLevel="0" collapsed="false">
      <c r="A59" s="9" t="s">
        <v>129</v>
      </c>
      <c r="B59" s="10"/>
      <c r="C59" s="10"/>
      <c r="D59" s="10"/>
      <c r="E59" s="10"/>
      <c r="F59" s="10"/>
    </row>
    <row r="60" customFormat="false" ht="15" hidden="false" customHeight="false" outlineLevel="0" collapsed="false">
      <c r="A60" s="11" t="s">
        <v>130</v>
      </c>
      <c r="B60" s="17" t="n">
        <v>2</v>
      </c>
      <c r="C60" s="17" t="n">
        <v>2</v>
      </c>
      <c r="D60" s="14" t="s">
        <v>131</v>
      </c>
      <c r="E60" s="14" t="s">
        <v>87</v>
      </c>
      <c r="F60" s="15"/>
    </row>
    <row r="61" customFormat="false" ht="15" hidden="false" customHeight="false" outlineLevel="0" collapsed="false">
      <c r="A61" s="11" t="s">
        <v>132</v>
      </c>
      <c r="B61" s="22" t="n">
        <v>140000</v>
      </c>
      <c r="C61" s="22" t="n">
        <v>140000</v>
      </c>
      <c r="D61" s="14" t="s">
        <v>133</v>
      </c>
      <c r="E61" s="14" t="s">
        <v>134</v>
      </c>
      <c r="F61" s="15" t="s">
        <v>135</v>
      </c>
    </row>
    <row r="62" customFormat="false" ht="15" hidden="false" customHeight="false" outlineLevel="0" collapsed="false">
      <c r="A62" s="11" t="s">
        <v>136</v>
      </c>
      <c r="B62" s="16" t="n">
        <v>0.12</v>
      </c>
      <c r="C62" s="16" t="n">
        <v>0.12</v>
      </c>
      <c r="D62" s="14" t="s">
        <v>137</v>
      </c>
      <c r="E62" s="14" t="s">
        <v>28</v>
      </c>
      <c r="F62" s="15" t="s">
        <v>138</v>
      </c>
    </row>
    <row r="63" customFormat="false" ht="15" hidden="false" customHeight="false" outlineLevel="0" collapsed="false">
      <c r="A63" s="7" t="s">
        <v>139</v>
      </c>
    </row>
    <row r="65" customFormat="false" ht="15" hidden="false" customHeight="false" outlineLevel="0" collapsed="false">
      <c r="A65" s="8" t="s">
        <v>140</v>
      </c>
      <c r="B65" s="8" t="s">
        <v>141</v>
      </c>
      <c r="C65" s="8" t="s">
        <v>142</v>
      </c>
      <c r="D65" s="8" t="s">
        <v>143</v>
      </c>
      <c r="E65" s="8"/>
      <c r="F65" s="8" t="s">
        <v>144</v>
      </c>
    </row>
    <row r="66" customFormat="false" ht="15" hidden="false" customHeight="false" outlineLevel="0" collapsed="false">
      <c r="A66" s="11" t="s">
        <v>145</v>
      </c>
      <c r="B66" s="20" t="n">
        <v>160000</v>
      </c>
      <c r="C66" s="17" t="n">
        <v>16</v>
      </c>
      <c r="D66" s="17" t="n">
        <v>19</v>
      </c>
      <c r="F66" s="14" t="s">
        <v>146</v>
      </c>
    </row>
    <row r="67" customFormat="false" ht="15" hidden="false" customHeight="false" outlineLevel="0" collapsed="false">
      <c r="A67" s="11" t="s">
        <v>147</v>
      </c>
      <c r="B67" s="20" t="n">
        <v>170000</v>
      </c>
      <c r="C67" s="17" t="n">
        <v>16</v>
      </c>
      <c r="D67" s="17" t="n">
        <v>19</v>
      </c>
      <c r="F67" s="14" t="s">
        <v>148</v>
      </c>
    </row>
    <row r="68" customFormat="false" ht="15" hidden="false" customHeight="false" outlineLevel="0" collapsed="false">
      <c r="A68" s="11" t="s">
        <v>149</v>
      </c>
      <c r="B68" s="20" t="n">
        <v>110000</v>
      </c>
      <c r="C68" s="17" t="n">
        <v>16</v>
      </c>
      <c r="D68" s="17" t="n">
        <v>22</v>
      </c>
      <c r="F68" s="14" t="s">
        <v>150</v>
      </c>
    </row>
    <row r="69" customFormat="false" ht="15" hidden="false" customHeight="false" outlineLevel="0" collapsed="false">
      <c r="A69" s="11" t="s">
        <v>151</v>
      </c>
      <c r="B69" s="20" t="n">
        <v>160000</v>
      </c>
      <c r="C69" s="17" t="n">
        <v>22</v>
      </c>
      <c r="D69" s="17" t="n">
        <v>28</v>
      </c>
      <c r="F69" s="14"/>
    </row>
    <row r="70" customFormat="false" ht="15" hidden="false" customHeight="false" outlineLevel="0" collapsed="false">
      <c r="A70" s="11" t="s">
        <v>152</v>
      </c>
      <c r="B70" s="20" t="n">
        <v>110000</v>
      </c>
      <c r="C70" s="17" t="n">
        <v>25</v>
      </c>
      <c r="D70" s="17" t="n">
        <v>31</v>
      </c>
      <c r="F70" s="14"/>
    </row>
    <row r="71" customFormat="false" ht="15" hidden="false" customHeight="false" outlineLevel="0" collapsed="false">
      <c r="A71" s="11" t="s">
        <v>153</v>
      </c>
      <c r="B71" s="20" t="n">
        <v>160000</v>
      </c>
      <c r="C71" s="17" t="n">
        <v>28</v>
      </c>
      <c r="D71" s="17" t="n">
        <v>999</v>
      </c>
      <c r="F71" s="14"/>
    </row>
    <row r="72" customFormat="false" ht="15" hidden="false" customHeight="false" outlineLevel="0" collapsed="false">
      <c r="A72" s="11" t="s">
        <v>154</v>
      </c>
      <c r="B72" s="20" t="n">
        <v>110000</v>
      </c>
      <c r="C72" s="17" t="n">
        <v>31</v>
      </c>
      <c r="D72" s="17" t="n">
        <v>999</v>
      </c>
      <c r="F72" s="14"/>
    </row>
    <row r="74" customFormat="false" ht="15" hidden="false" customHeight="false" outlineLevel="0" collapsed="false">
      <c r="A74" s="9" t="s">
        <v>155</v>
      </c>
      <c r="B74" s="10"/>
      <c r="C74" s="10"/>
      <c r="D74" s="10"/>
      <c r="E74" s="10"/>
      <c r="F74" s="10"/>
    </row>
    <row r="75" customFormat="false" ht="15" hidden="false" customHeight="false" outlineLevel="0" collapsed="false">
      <c r="A75" s="11" t="s">
        <v>156</v>
      </c>
      <c r="B75" s="22" t="n">
        <v>260000</v>
      </c>
      <c r="C75" s="22" t="n">
        <v>260000</v>
      </c>
      <c r="D75" s="14" t="s">
        <v>133</v>
      </c>
      <c r="E75" s="14" t="s">
        <v>134</v>
      </c>
      <c r="F75" s="15" t="s">
        <v>157</v>
      </c>
    </row>
    <row r="76" customFormat="false" ht="15" hidden="false" customHeight="false" outlineLevel="0" collapsed="false">
      <c r="A76" s="11" t="s">
        <v>158</v>
      </c>
      <c r="B76" s="20" t="n">
        <v>60000</v>
      </c>
      <c r="C76" s="20" t="n">
        <v>40000</v>
      </c>
      <c r="D76" s="14" t="s">
        <v>133</v>
      </c>
      <c r="E76" s="14" t="s">
        <v>51</v>
      </c>
      <c r="F76" s="15"/>
    </row>
    <row r="77" customFormat="false" ht="15" hidden="false" customHeight="false" outlineLevel="0" collapsed="false">
      <c r="A77" s="11" t="s">
        <v>159</v>
      </c>
      <c r="B77" s="20" t="n">
        <v>60000</v>
      </c>
      <c r="C77" s="20" t="n">
        <v>40000</v>
      </c>
      <c r="D77" s="14" t="s">
        <v>133</v>
      </c>
      <c r="E77" s="14" t="s">
        <v>51</v>
      </c>
      <c r="F77" s="15"/>
    </row>
    <row r="78" customFormat="false" ht="15" hidden="false" customHeight="false" outlineLevel="0" collapsed="false">
      <c r="A78" s="11" t="s">
        <v>160</v>
      </c>
      <c r="B78" s="20" t="n">
        <v>1000</v>
      </c>
      <c r="C78" s="20" t="n">
        <v>1000</v>
      </c>
      <c r="D78" s="14" t="s">
        <v>86</v>
      </c>
      <c r="E78" s="14" t="s">
        <v>51</v>
      </c>
      <c r="F78" s="15" t="s">
        <v>161</v>
      </c>
    </row>
    <row r="79" customFormat="false" ht="15" hidden="false" customHeight="false" outlineLevel="0" collapsed="false">
      <c r="A79" s="11" t="s">
        <v>162</v>
      </c>
      <c r="B79" s="20" t="n">
        <v>150</v>
      </c>
      <c r="C79" s="20" t="n">
        <v>200</v>
      </c>
      <c r="D79" s="14" t="s">
        <v>86</v>
      </c>
      <c r="E79" s="14" t="s">
        <v>51</v>
      </c>
      <c r="F79" s="15" t="s">
        <v>163</v>
      </c>
    </row>
    <row r="80" customFormat="false" ht="15" hidden="false" customHeight="false" outlineLevel="0" collapsed="false">
      <c r="A80" s="11" t="s">
        <v>164</v>
      </c>
      <c r="B80" s="20" t="n">
        <v>40000</v>
      </c>
      <c r="C80" s="20" t="n">
        <v>40000</v>
      </c>
      <c r="D80" s="14" t="s">
        <v>165</v>
      </c>
      <c r="E80" s="14" t="s">
        <v>51</v>
      </c>
      <c r="F80" s="15" t="s">
        <v>166</v>
      </c>
    </row>
    <row r="81" customFormat="false" ht="15" hidden="false" customHeight="false" outlineLevel="0" collapsed="false">
      <c r="A81" s="11" t="s">
        <v>167</v>
      </c>
      <c r="B81" s="20" t="n">
        <v>20000</v>
      </c>
      <c r="C81" s="20" t="n">
        <v>20000</v>
      </c>
      <c r="D81" s="14" t="s">
        <v>133</v>
      </c>
      <c r="E81" s="14" t="s">
        <v>51</v>
      </c>
      <c r="F81" s="15" t="s">
        <v>168</v>
      </c>
    </row>
    <row r="82" customFormat="false" ht="15" hidden="false" customHeight="false" outlineLevel="0" collapsed="false">
      <c r="A82" s="11" t="s">
        <v>169</v>
      </c>
      <c r="B82" s="20" t="n">
        <v>10000</v>
      </c>
      <c r="C82" s="20" t="n">
        <v>10000</v>
      </c>
      <c r="D82" s="14" t="s">
        <v>133</v>
      </c>
      <c r="E82" s="14" t="s">
        <v>51</v>
      </c>
      <c r="F82" s="15" t="s">
        <v>170</v>
      </c>
    </row>
    <row r="83" customFormat="false" ht="15" hidden="false" customHeight="false" outlineLevel="0" collapsed="false">
      <c r="A83" s="11" t="s">
        <v>171</v>
      </c>
      <c r="B83" s="20" t="n">
        <v>30000</v>
      </c>
      <c r="C83" s="20" t="n">
        <v>30000</v>
      </c>
      <c r="D83" s="14" t="s">
        <v>133</v>
      </c>
      <c r="E83" s="14" t="s">
        <v>51</v>
      </c>
      <c r="F83" s="15" t="s">
        <v>172</v>
      </c>
    </row>
    <row r="84" customFormat="false" ht="15" hidden="false" customHeight="false" outlineLevel="0" collapsed="false">
      <c r="A84" s="11" t="s">
        <v>173</v>
      </c>
      <c r="B84" s="20" t="n">
        <v>45000</v>
      </c>
      <c r="C84" s="20" t="n">
        <v>45000</v>
      </c>
      <c r="D84" s="14" t="s">
        <v>133</v>
      </c>
      <c r="E84" s="14" t="s">
        <v>51</v>
      </c>
      <c r="F84" s="15"/>
    </row>
    <row r="85" customFormat="false" ht="15" hidden="false" customHeight="false" outlineLevel="0" collapsed="false">
      <c r="A85" s="11" t="s">
        <v>174</v>
      </c>
      <c r="B85" s="20" t="n">
        <v>40000</v>
      </c>
      <c r="C85" s="20" t="n">
        <v>40000</v>
      </c>
      <c r="D85" s="14" t="s">
        <v>133</v>
      </c>
      <c r="E85" s="14" t="s">
        <v>51</v>
      </c>
      <c r="F85" s="15" t="s">
        <v>175</v>
      </c>
    </row>
    <row r="86" customFormat="false" ht="15" hidden="false" customHeight="false" outlineLevel="0" collapsed="false">
      <c r="A86" s="11" t="s">
        <v>176</v>
      </c>
      <c r="B86" s="20" t="n">
        <v>80000</v>
      </c>
      <c r="C86" s="20" t="n">
        <v>60000</v>
      </c>
      <c r="D86" s="14" t="s">
        <v>133</v>
      </c>
      <c r="E86" s="14" t="s">
        <v>51</v>
      </c>
      <c r="F86" s="15"/>
    </row>
    <row r="87" customFormat="false" ht="15" hidden="false" customHeight="false" outlineLevel="0" collapsed="false">
      <c r="A87" s="11" t="s">
        <v>177</v>
      </c>
      <c r="B87" s="20" t="n">
        <v>150000</v>
      </c>
      <c r="C87" s="20" t="n">
        <v>100000</v>
      </c>
      <c r="D87" s="14" t="s">
        <v>133</v>
      </c>
      <c r="E87" s="14" t="s">
        <v>51</v>
      </c>
      <c r="F87" s="15"/>
    </row>
    <row r="88" customFormat="false" ht="15" hidden="false" customHeight="false" outlineLevel="0" collapsed="false">
      <c r="A88" s="11" t="s">
        <v>178</v>
      </c>
      <c r="B88" s="20" t="n">
        <v>30000</v>
      </c>
      <c r="C88" s="20" t="n">
        <v>30000</v>
      </c>
      <c r="D88" s="14" t="s">
        <v>133</v>
      </c>
      <c r="E88" s="14" t="s">
        <v>51</v>
      </c>
      <c r="F88" s="15" t="s">
        <v>175</v>
      </c>
    </row>
    <row r="89" customFormat="false" ht="15" hidden="false" customHeight="false" outlineLevel="0" collapsed="false">
      <c r="A89" s="11" t="s">
        <v>179</v>
      </c>
      <c r="B89" s="20" t="n">
        <v>40000</v>
      </c>
      <c r="C89" s="20" t="n">
        <v>40000</v>
      </c>
      <c r="D89" s="14" t="s">
        <v>133</v>
      </c>
      <c r="E89" s="14" t="s">
        <v>51</v>
      </c>
      <c r="F89" s="15"/>
    </row>
    <row r="90" customFormat="false" ht="15" hidden="false" customHeight="false" outlineLevel="0" collapsed="false">
      <c r="A90" s="11" t="s">
        <v>180</v>
      </c>
      <c r="B90" s="20" t="n">
        <v>60000</v>
      </c>
      <c r="C90" s="20" t="n">
        <v>60000</v>
      </c>
      <c r="D90" s="14" t="s">
        <v>133</v>
      </c>
      <c r="E90" s="14" t="s">
        <v>51</v>
      </c>
      <c r="F90" s="15"/>
    </row>
    <row r="91" customFormat="false" ht="15" hidden="false" customHeight="false" outlineLevel="0" collapsed="false">
      <c r="A91" s="11" t="s">
        <v>181</v>
      </c>
      <c r="B91" s="22" t="n">
        <v>36000</v>
      </c>
      <c r="C91" s="22" t="n">
        <v>36000</v>
      </c>
      <c r="D91" s="14" t="s">
        <v>165</v>
      </c>
      <c r="E91" s="14" t="s">
        <v>134</v>
      </c>
      <c r="F91" s="15" t="s">
        <v>182</v>
      </c>
    </row>
    <row r="92" customFormat="false" ht="15" hidden="false" customHeight="false" outlineLevel="0" collapsed="false">
      <c r="A92" s="11" t="s">
        <v>183</v>
      </c>
      <c r="B92" s="16" t="n">
        <v>0.05</v>
      </c>
      <c r="C92" s="16" t="n">
        <v>0.05</v>
      </c>
      <c r="D92" s="14" t="s">
        <v>184</v>
      </c>
      <c r="E92" s="14" t="s">
        <v>51</v>
      </c>
      <c r="F92" s="15"/>
    </row>
    <row r="94" customFormat="false" ht="15" hidden="false" customHeight="false" outlineLevel="0" collapsed="false">
      <c r="A94" s="9" t="s">
        <v>185</v>
      </c>
      <c r="B94" s="10"/>
      <c r="C94" s="10"/>
      <c r="D94" s="10"/>
      <c r="E94" s="10"/>
      <c r="F94" s="10"/>
    </row>
    <row r="95" customFormat="false" ht="15" hidden="false" customHeight="false" outlineLevel="0" collapsed="false">
      <c r="A95" s="11" t="s">
        <v>186</v>
      </c>
      <c r="B95" s="22" t="n">
        <v>750000</v>
      </c>
      <c r="C95" s="22" t="n">
        <v>750000</v>
      </c>
      <c r="D95" s="14" t="s">
        <v>165</v>
      </c>
      <c r="E95" s="14" t="s">
        <v>134</v>
      </c>
      <c r="F95" s="15" t="s">
        <v>187</v>
      </c>
    </row>
    <row r="96" customFormat="false" ht="15" hidden="false" customHeight="false" outlineLevel="0" collapsed="false">
      <c r="A96" s="11" t="s">
        <v>188</v>
      </c>
      <c r="B96" s="20" t="n">
        <v>3000000</v>
      </c>
      <c r="C96" s="20" t="n">
        <v>3000000</v>
      </c>
      <c r="D96" s="14" t="s">
        <v>165</v>
      </c>
      <c r="E96" s="14" t="s">
        <v>87</v>
      </c>
      <c r="F96" s="15" t="s">
        <v>189</v>
      </c>
    </row>
    <row r="97" customFormat="false" ht="15" hidden="false" customHeight="false" outlineLevel="0" collapsed="false">
      <c r="A97" s="11" t="s">
        <v>190</v>
      </c>
      <c r="B97" s="17" t="n">
        <v>15</v>
      </c>
      <c r="C97" s="17" t="n">
        <v>18</v>
      </c>
      <c r="D97" s="14" t="s">
        <v>100</v>
      </c>
      <c r="E97" s="14" t="s">
        <v>87</v>
      </c>
      <c r="F97" s="15" t="s">
        <v>191</v>
      </c>
    </row>
    <row r="98" customFormat="false" ht="15" hidden="false" customHeight="false" outlineLevel="0" collapsed="false">
      <c r="A98" s="11" t="s">
        <v>192</v>
      </c>
      <c r="B98" s="20" t="n">
        <v>0</v>
      </c>
      <c r="C98" s="20" t="n">
        <v>0</v>
      </c>
      <c r="D98" s="14" t="s">
        <v>165</v>
      </c>
      <c r="E98" s="14" t="s">
        <v>87</v>
      </c>
      <c r="F98" s="15" t="s">
        <v>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3"/>
    <col collapsed="false" customWidth="true" hidden="false" outlineLevel="0" max="5" min="5" style="0" width="3"/>
    <col collapsed="false" customWidth="true" hidden="false" outlineLevel="0" max="8" min="6" style="0" width="13"/>
  </cols>
  <sheetData>
    <row r="1" customFormat="false" ht="17.35" hidden="false" customHeight="false" outlineLevel="0" collapsed="false">
      <c r="A1" s="6" t="s">
        <v>194</v>
      </c>
    </row>
    <row r="2" customFormat="false" ht="15" hidden="false" customHeight="false" outlineLevel="0" collapsed="false">
      <c r="A2" s="7" t="s">
        <v>195</v>
      </c>
    </row>
    <row r="4" customFormat="false" ht="15" hidden="false" customHeight="false" outlineLevel="0" collapsed="false">
      <c r="B4" s="23" t="s">
        <v>19</v>
      </c>
      <c r="F4" s="23" t="s">
        <v>20</v>
      </c>
    </row>
    <row r="5" customFormat="false" ht="15" hidden="false" customHeight="false" outlineLevel="0" collapsed="false">
      <c r="A5" s="24"/>
      <c r="B5" s="25" t="s">
        <v>196</v>
      </c>
      <c r="C5" s="25" t="s">
        <v>197</v>
      </c>
      <c r="D5" s="25" t="s">
        <v>198</v>
      </c>
      <c r="F5" s="25" t="s">
        <v>196</v>
      </c>
      <c r="G5" s="25" t="s">
        <v>197</v>
      </c>
      <c r="H5" s="25" t="s">
        <v>198</v>
      </c>
    </row>
    <row r="7" customFormat="false" ht="15" hidden="false" customHeight="false" outlineLevel="0" collapsed="false">
      <c r="A7" s="9" t="s">
        <v>199</v>
      </c>
      <c r="B7" s="10"/>
      <c r="C7" s="10"/>
      <c r="D7" s="10"/>
      <c r="E7" s="10"/>
      <c r="F7" s="10"/>
      <c r="G7" s="10"/>
      <c r="H7" s="10"/>
    </row>
    <row r="8" customFormat="false" ht="15" hidden="false" customHeight="false" outlineLevel="0" collapsed="false">
      <c r="A8" s="11" t="s">
        <v>200</v>
      </c>
      <c r="B8" s="26" t="n">
        <f aca="false">Base!$AN$10</f>
        <v>119841.433209757</v>
      </c>
      <c r="C8" s="26" t="n">
        <f aca="false">Base!$AO$10</f>
        <v>633551.315591838</v>
      </c>
      <c r="D8" s="26" t="n">
        <f aca="false">Base!$AP$10</f>
        <v>1223858.67632775</v>
      </c>
      <c r="F8" s="26" t="n">
        <f aca="false">Conservative!$AN$10</f>
        <v>65515.5829776</v>
      </c>
      <c r="G8" s="26" t="n">
        <f aca="false">Conservative!$AO$10</f>
        <v>345890.600228435</v>
      </c>
      <c r="H8" s="26" t="n">
        <f aca="false">Conservative!$AP$10</f>
        <v>673983.775206089</v>
      </c>
    </row>
    <row r="9" customFormat="false" ht="15" hidden="false" customHeight="false" outlineLevel="0" collapsed="false">
      <c r="A9" s="11" t="s">
        <v>201</v>
      </c>
      <c r="B9" s="26" t="n">
        <f aca="false">Base!$AN$18</f>
        <v>3281.25</v>
      </c>
      <c r="C9" s="26" t="n">
        <f aca="false">Base!$AO$18</f>
        <v>328125</v>
      </c>
      <c r="D9" s="26" t="n">
        <f aca="false">Base!$AP$18</f>
        <v>1391250</v>
      </c>
      <c r="F9" s="26" t="n">
        <f aca="false">Conservative!$AN$18</f>
        <v>0</v>
      </c>
      <c r="G9" s="26" t="n">
        <f aca="false">Conservative!$AO$18</f>
        <v>49000</v>
      </c>
      <c r="H9" s="26" t="n">
        <f aca="false">Conservative!$AP$18</f>
        <v>397250</v>
      </c>
    </row>
    <row r="10" customFormat="false" ht="15" hidden="false" customHeight="false" outlineLevel="0" collapsed="false">
      <c r="A10" s="23" t="s">
        <v>202</v>
      </c>
      <c r="B10" s="27" t="n">
        <f aca="false">Base!$AN$20</f>
        <v>123122.683209757</v>
      </c>
      <c r="C10" s="27" t="n">
        <f aca="false">Base!$AO$20</f>
        <v>961676.315591838</v>
      </c>
      <c r="D10" s="27" t="n">
        <f aca="false">Base!$AP$20</f>
        <v>2615108.67632775</v>
      </c>
      <c r="F10" s="27" t="n">
        <f aca="false">Conservative!$AN$20</f>
        <v>65515.5829776</v>
      </c>
      <c r="G10" s="27" t="n">
        <f aca="false">Conservative!$AO$20</f>
        <v>394890.600228435</v>
      </c>
      <c r="H10" s="27" t="n">
        <f aca="false">Conservative!$AP$20</f>
        <v>1071233.77520609</v>
      </c>
    </row>
    <row r="12" customFormat="false" ht="15" hidden="false" customHeight="false" outlineLevel="0" collapsed="false">
      <c r="A12" s="9" t="s">
        <v>203</v>
      </c>
      <c r="B12" s="10"/>
      <c r="C12" s="10"/>
      <c r="D12" s="10"/>
      <c r="E12" s="10"/>
      <c r="F12" s="10"/>
      <c r="G12" s="10"/>
      <c r="H12" s="10"/>
    </row>
    <row r="13" customFormat="false" ht="15" hidden="false" customHeight="false" outlineLevel="0" collapsed="false">
      <c r="A13" s="11" t="s">
        <v>204</v>
      </c>
      <c r="B13" s="26" t="n">
        <f aca="false">Base!$AN$25+Base!$AN$26</f>
        <v>313600</v>
      </c>
      <c r="C13" s="26" t="n">
        <f aca="false">Base!$AO$25+Base!$AO$26</f>
        <v>728000</v>
      </c>
      <c r="D13" s="26" t="n">
        <f aca="false">Base!$AP$25+Base!$AP$26</f>
        <v>1304800</v>
      </c>
      <c r="F13" s="26" t="n">
        <f aca="false">Conservative!$AN$25+Conservative!$AN$26</f>
        <v>313600</v>
      </c>
      <c r="G13" s="26" t="n">
        <f aca="false">Conservative!$AO$25+Conservative!$AO$26</f>
        <v>529200</v>
      </c>
      <c r="H13" s="26" t="n">
        <f aca="false">Conservative!$AP$25+Conservative!$AP$26</f>
        <v>1002400</v>
      </c>
    </row>
    <row r="14" customFormat="false" ht="15" hidden="false" customHeight="false" outlineLevel="0" collapsed="false">
      <c r="A14" s="11" t="s">
        <v>205</v>
      </c>
      <c r="B14" s="26" t="n">
        <f aca="false">Base!$AN$27+Base!$AN$28+Base!$AN$29</f>
        <v>318148.561423275</v>
      </c>
      <c r="C14" s="26" t="n">
        <f aca="false">Base!$AO$27+Base!$AO$28+Base!$AO$29</f>
        <v>130402.19923965</v>
      </c>
      <c r="D14" s="26" t="n">
        <f aca="false">Base!$AP$27+Base!$AP$28+Base!$AP$29</f>
        <v>192151.086128332</v>
      </c>
      <c r="F14" s="26" t="n">
        <f aca="false">Conservative!$AN$27+Conservative!$AN$28+Conservative!$AN$29</f>
        <v>317343.74759872</v>
      </c>
      <c r="G14" s="26" t="n">
        <f aca="false">Conservative!$AO$27+Conservative!$AO$28+Conservative!$AO$29</f>
        <v>94565.1771559106</v>
      </c>
      <c r="H14" s="26" t="n">
        <f aca="false">Conservative!$AP$27+Conservative!$AP$28+Conservative!$AP$29</f>
        <v>133213.358583205</v>
      </c>
    </row>
    <row r="15" customFormat="false" ht="15" hidden="false" customHeight="false" outlineLevel="0" collapsed="false">
      <c r="A15" s="11" t="s">
        <v>206</v>
      </c>
      <c r="B15" s="26" t="n">
        <f aca="false">Base!$AN$31+Base!$AN$32+Base!$AN$30</f>
        <v>80000</v>
      </c>
      <c r="C15" s="26" t="n">
        <f aca="false">Base!$AO$31+Base!$AO$32+Base!$AO$30</f>
        <v>150000</v>
      </c>
      <c r="D15" s="26" t="n">
        <f aca="false">Base!$AP$31+Base!$AP$32+Base!$AP$30</f>
        <v>255000</v>
      </c>
      <c r="F15" s="26" t="n">
        <f aca="false">Conservative!$AN$31+Conservative!$AN$32+Conservative!$AN$30</f>
        <v>80000</v>
      </c>
      <c r="G15" s="26" t="n">
        <f aca="false">Conservative!$AO$31+Conservative!$AO$32+Conservative!$AO$30</f>
        <v>130000</v>
      </c>
      <c r="H15" s="26" t="n">
        <f aca="false">Conservative!$AP$31+Conservative!$AP$32+Conservative!$AP$30</f>
        <v>205000</v>
      </c>
    </row>
    <row r="16" customFormat="false" ht="15" hidden="false" customHeight="false" outlineLevel="0" collapsed="false">
      <c r="A16" s="11" t="s">
        <v>207</v>
      </c>
      <c r="B16" s="26" t="n">
        <f aca="false">Base!$AN$33</f>
        <v>36000</v>
      </c>
      <c r="C16" s="26" t="n">
        <f aca="false">Base!$AO$33</f>
        <v>50420.1099619825</v>
      </c>
      <c r="D16" s="26" t="n">
        <f aca="false">Base!$AP$33</f>
        <v>87597.5543064166</v>
      </c>
      <c r="F16" s="26" t="n">
        <f aca="false">Conservative!$AN$33</f>
        <v>36000</v>
      </c>
      <c r="G16" s="26" t="n">
        <f aca="false">Conservative!$AO$33</f>
        <v>37688.2588577955</v>
      </c>
      <c r="H16" s="26" t="n">
        <f aca="false">Conservative!$AP$33</f>
        <v>67030.6679291603</v>
      </c>
    </row>
    <row r="17" customFormat="false" ht="15" hidden="false" customHeight="false" outlineLevel="0" collapsed="false">
      <c r="A17" s="23" t="s">
        <v>208</v>
      </c>
      <c r="B17" s="27" t="n">
        <f aca="false">Base!$AN$34</f>
        <v>747748.561423275</v>
      </c>
      <c r="C17" s="27" t="n">
        <f aca="false">Base!$AO$34</f>
        <v>1058822.30920163</v>
      </c>
      <c r="D17" s="27" t="n">
        <f aca="false">Base!$AP$34</f>
        <v>1839548.64043475</v>
      </c>
      <c r="F17" s="27" t="n">
        <f aca="false">Conservative!$AN$34</f>
        <v>746943.74759872</v>
      </c>
      <c r="G17" s="27" t="n">
        <f aca="false">Conservative!$AO$34</f>
        <v>791453.436013706</v>
      </c>
      <c r="H17" s="27" t="n">
        <f aca="false">Conservative!$AP$34</f>
        <v>1407644.02651237</v>
      </c>
    </row>
    <row r="19" customFormat="false" ht="15" hidden="false" customHeight="false" outlineLevel="0" collapsed="false">
      <c r="A19" s="9" t="s">
        <v>209</v>
      </c>
      <c r="B19" s="10"/>
      <c r="C19" s="10"/>
      <c r="D19" s="10"/>
      <c r="E19" s="10"/>
      <c r="F19" s="10"/>
      <c r="G19" s="10"/>
      <c r="H19" s="10"/>
    </row>
    <row r="20" customFormat="false" ht="15" hidden="false" customHeight="false" outlineLevel="0" collapsed="false">
      <c r="A20" s="23" t="s">
        <v>210</v>
      </c>
      <c r="B20" s="28" t="n">
        <f aca="false">Base!$AN$36</f>
        <v>-624625.878213518</v>
      </c>
      <c r="C20" s="28" t="n">
        <f aca="false">Base!$AO$36</f>
        <v>-97145.9936097948</v>
      </c>
      <c r="D20" s="28" t="n">
        <f aca="false">Base!$AP$36</f>
        <v>775560.035892999</v>
      </c>
      <c r="F20" s="28" t="n">
        <f aca="false">Conservative!$AN$36</f>
        <v>-681428.16462112</v>
      </c>
      <c r="G20" s="28" t="n">
        <f aca="false">Conservative!$AO$36</f>
        <v>-396562.835785271</v>
      </c>
      <c r="H20" s="28" t="n">
        <f aca="false">Conservative!$AP$36</f>
        <v>-336410.251306277</v>
      </c>
    </row>
    <row r="21" customFormat="false" ht="15" hidden="false" customHeight="false" outlineLevel="0" collapsed="false">
      <c r="A21" s="11" t="s">
        <v>211</v>
      </c>
      <c r="B21" s="26" t="n">
        <f aca="false">Base!$AN$40</f>
        <v>125374.121786482</v>
      </c>
      <c r="C21" s="26" t="n">
        <f aca="false">Base!$AO$40</f>
        <v>28228.1281766869</v>
      </c>
      <c r="D21" s="26" t="n">
        <f aca="false">Base!$AP$40</f>
        <v>803788.164069685</v>
      </c>
      <c r="F21" s="26" t="n">
        <f aca="false">Conservative!$AN$40</f>
        <v>68571.83537888</v>
      </c>
      <c r="G21" s="26" t="n">
        <f aca="false">Conservative!$AO$40</f>
        <v>-327991.000406391</v>
      </c>
      <c r="H21" s="26" t="n">
        <f aca="false">Conservative!$AP$40</f>
        <v>-664401.251712668</v>
      </c>
    </row>
    <row r="22" customFormat="false" ht="15" hidden="false" customHeight="false" outlineLevel="0" collapsed="false">
      <c r="A22" s="11" t="s">
        <v>212</v>
      </c>
      <c r="B22" s="26" t="n">
        <f aca="false">Base!$AN$42</f>
        <v>125374.121786482</v>
      </c>
      <c r="C22" s="26" t="n">
        <f aca="false">Base!$AO$42</f>
        <v>3028228.12817669</v>
      </c>
      <c r="D22" s="26" t="n">
        <f aca="false">Base!$AP$42</f>
        <v>3803788.16406969</v>
      </c>
      <c r="F22" s="26" t="n">
        <f aca="false">Conservative!$AN$42</f>
        <v>68571.83537888</v>
      </c>
      <c r="G22" s="26" t="n">
        <f aca="false">Conservative!$AO$42</f>
        <v>2672008.99959361</v>
      </c>
      <c r="H22" s="26" t="n">
        <f aca="false">Conservative!$AP$42</f>
        <v>2335598.74828733</v>
      </c>
    </row>
    <row r="24" customFormat="false" ht="15" hidden="false" customHeight="false" outlineLevel="0" collapsed="false">
      <c r="A24" s="9" t="s">
        <v>213</v>
      </c>
      <c r="B24" s="10"/>
      <c r="C24" s="10"/>
      <c r="D24" s="10"/>
      <c r="E24" s="10"/>
      <c r="F24" s="10"/>
      <c r="G24" s="10"/>
      <c r="H24" s="10"/>
    </row>
    <row r="25" customFormat="false" ht="15" hidden="false" customHeight="false" outlineLevel="0" collapsed="false">
      <c r="A25" s="11" t="s">
        <v>214</v>
      </c>
      <c r="B25" s="29" t="n">
        <f aca="false">Base!$AN$9</f>
        <v>7.734945358702</v>
      </c>
      <c r="C25" s="29" t="n">
        <f aca="false">Base!$AO$9</f>
        <v>21.0580295849882</v>
      </c>
      <c r="D25" s="29" t="n">
        <f aca="false">Base!$AP$9</f>
        <v>35.7077880948648</v>
      </c>
      <c r="F25" s="29" t="n">
        <f aca="false">Conservative!$AN$9</f>
        <v>4.2098216736</v>
      </c>
      <c r="G25" s="29" t="n">
        <f aca="false">Conservative!$AO$9</f>
        <v>11.3766403311601</v>
      </c>
      <c r="H25" s="29" t="n">
        <f aca="false">Conservative!$AP$9</f>
        <v>19.6916037410372</v>
      </c>
    </row>
    <row r="26" customFormat="false" ht="15" hidden="false" customHeight="false" outlineLevel="0" collapsed="false">
      <c r="A26" s="11" t="s">
        <v>215</v>
      </c>
      <c r="B26" s="29" t="n">
        <f aca="false">Base!$AN$16</f>
        <v>0.75</v>
      </c>
      <c r="C26" s="29" t="n">
        <f aca="false">Base!$AO$16</f>
        <v>12.75</v>
      </c>
      <c r="D26" s="29" t="n">
        <f aca="false">Base!$AP$16</f>
        <v>40.5</v>
      </c>
      <c r="F26" s="29" t="n">
        <f aca="false">Conservative!$AN$16</f>
        <v>0</v>
      </c>
      <c r="G26" s="29" t="n">
        <f aca="false">Conservative!$AO$16</f>
        <v>3.5</v>
      </c>
      <c r="H26" s="29" t="n">
        <f aca="false">Conservative!$AP$16</f>
        <v>16.5</v>
      </c>
    </row>
    <row r="27" customFormat="false" ht="15" hidden="false" customHeight="false" outlineLevel="0" collapsed="false">
      <c r="A27" s="11" t="s">
        <v>216</v>
      </c>
      <c r="B27" s="29" t="n">
        <f aca="false">Base!$AN$13</f>
        <v>1</v>
      </c>
      <c r="C27" s="29" t="n">
        <f aca="false">Base!$AO$13</f>
        <v>2</v>
      </c>
      <c r="D27" s="29" t="n">
        <f aca="false">Base!$AP$13</f>
        <v>4</v>
      </c>
      <c r="F27" s="29" t="n">
        <f aca="false">Conservative!$AN$13</f>
        <v>0</v>
      </c>
      <c r="G27" s="29" t="n">
        <f aca="false">Conservative!$AO$13</f>
        <v>1</v>
      </c>
      <c r="H27" s="29" t="n">
        <f aca="false">Conservative!$AP$13</f>
        <v>3</v>
      </c>
    </row>
    <row r="28" customFormat="false" ht="15" hidden="false" customHeight="false" outlineLevel="0" collapsed="false">
      <c r="A28" s="11" t="s">
        <v>217</v>
      </c>
      <c r="B28" s="29" t="n">
        <f aca="false">Base!$AN$24</f>
        <v>2</v>
      </c>
      <c r="C28" s="29" t="n">
        <f aca="false">Base!$AO$24</f>
        <v>6</v>
      </c>
      <c r="D28" s="29" t="n">
        <f aca="false">Base!$AP$24</f>
        <v>9</v>
      </c>
      <c r="F28" s="29" t="n">
        <f aca="false">Conservative!$AN$24</f>
        <v>2</v>
      </c>
      <c r="G28" s="29" t="n">
        <f aca="false">Conservative!$AO$24</f>
        <v>5</v>
      </c>
      <c r="H28" s="29" t="n">
        <f aca="false">Conservative!$AP$24</f>
        <v>7</v>
      </c>
    </row>
    <row r="29" customFormat="false" ht="15" hidden="false" customHeight="false" outlineLevel="0" collapsed="false">
      <c r="A29" s="23" t="s">
        <v>218</v>
      </c>
      <c r="B29" s="28" t="n">
        <f aca="false">Base!$AN$21</f>
        <v>364242.705065484</v>
      </c>
      <c r="C29" s="28" t="n">
        <f aca="false">Base!$AO$21</f>
        <v>1553812.2425695</v>
      </c>
      <c r="D29" s="28" t="n">
        <f aca="false">Base!$AP$21</f>
        <v>3625977.09998432</v>
      </c>
      <c r="F29" s="28" t="n">
        <f aca="false">Conservative!$AN$21</f>
        <v>176812.5102912</v>
      </c>
      <c r="G29" s="28" t="n">
        <f aca="false">Conservative!$AO$21</f>
        <v>624818.893908726</v>
      </c>
      <c r="H29" s="28" t="n">
        <f aca="false">Conservative!$AP$21</f>
        <v>1520047.35712356</v>
      </c>
    </row>
    <row r="32" customFormat="false" ht="15" hidden="false" customHeight="false" outlineLevel="0" collapsed="false">
      <c r="A32" s="9" t="s">
        <v>219</v>
      </c>
      <c r="B32" s="10"/>
      <c r="C32" s="10"/>
      <c r="D32" s="10"/>
      <c r="E32" s="10"/>
      <c r="F32" s="10"/>
      <c r="G32" s="10"/>
      <c r="H32" s="10"/>
    </row>
    <row r="33" customFormat="false" ht="15" hidden="false" customHeight="false" outlineLevel="0" collapsed="false">
      <c r="A33" s="11" t="s">
        <v>220</v>
      </c>
      <c r="B33" s="26" t="n">
        <f aca="false">MIN(Base!$C$40:$AL$40)</f>
        <v>4574.55430116392</v>
      </c>
      <c r="F33" s="26" t="n">
        <f aca="false">MIN(Conservative!$C$40:$AL$40)</f>
        <v>-664401.251712668</v>
      </c>
    </row>
    <row r="34" customFormat="false" ht="15" hidden="false" customHeight="false" outlineLevel="0" collapsed="false">
      <c r="A34" s="11" t="s">
        <v>221</v>
      </c>
      <c r="B34" s="30" t="n">
        <f aca="false">MIN(Base!$C$43:$AL$43)</f>
        <v>99</v>
      </c>
      <c r="F34" s="30" t="n">
        <f aca="false">MIN(Conservative!$C$43:$AL$43)</f>
        <v>15</v>
      </c>
    </row>
    <row r="35" customFormat="false" ht="15" hidden="false" customHeight="false" outlineLevel="0" collapsed="false">
      <c r="A35" s="11" t="s">
        <v>222</v>
      </c>
      <c r="B35" s="26" t="n">
        <f aca="false">MIN(Base!$C$42:$AL$42)</f>
        <v>107387.414019047</v>
      </c>
      <c r="F35" s="26" t="n">
        <f aca="false">MIN(Conservative!$C$42:$AL$42)</f>
        <v>-55757.351406611</v>
      </c>
    </row>
    <row r="38" customFormat="false" ht="15" hidden="false" customHeight="false" outlineLevel="0" collapsed="false">
      <c r="A38" s="9" t="s">
        <v>223</v>
      </c>
      <c r="B38" s="10"/>
      <c r="C38" s="10"/>
      <c r="D38" s="10"/>
      <c r="E38" s="10"/>
      <c r="F38" s="10"/>
      <c r="G38" s="10"/>
      <c r="H38" s="10"/>
    </row>
    <row r="39" customFormat="false" ht="15" hidden="false" customHeight="false" outlineLevel="0" collapsed="false">
      <c r="A39" s="11" t="s">
        <v>224</v>
      </c>
      <c r="B39" s="31" t="n">
        <f aca="false">Market!$B$44</f>
        <v>244.1635715</v>
      </c>
    </row>
    <row r="40" customFormat="false" ht="15" hidden="false" customHeight="false" outlineLevel="0" collapsed="false">
      <c r="A40" s="11" t="s">
        <v>225</v>
      </c>
      <c r="B40" s="31" t="n">
        <f aca="false">Market!$B$50</f>
        <v>46.076690513</v>
      </c>
    </row>
    <row r="41" customFormat="false" ht="15" hidden="false" customHeight="false" outlineLevel="0" collapsed="false">
      <c r="A41" s="11" t="s">
        <v>226</v>
      </c>
      <c r="B41" s="31" t="n">
        <f aca="false">Market!$B$51</f>
        <v>3.62597709998432</v>
      </c>
    </row>
    <row r="42" customFormat="false" ht="15" hidden="false" customHeight="false" outlineLevel="0" collapsed="false">
      <c r="A42" s="11" t="s">
        <v>227</v>
      </c>
      <c r="B42" s="29" t="n">
        <f aca="false">Market!$B$33</f>
        <v>4328.20833333333</v>
      </c>
    </row>
    <row r="43" customFormat="false" ht="15" hidden="false" customHeight="false" outlineLevel="0" collapsed="false">
      <c r="A43" s="11" t="s">
        <v>228</v>
      </c>
      <c r="B43" s="29" t="n">
        <f aca="false">Market!$B$49</f>
        <v>816.069333333334</v>
      </c>
    </row>
    <row r="46" customFormat="false" ht="15" hidden="false" customHeight="false" outlineLevel="0" collapsed="false">
      <c r="A46" s="9" t="s">
        <v>229</v>
      </c>
      <c r="B46" s="10"/>
      <c r="C46" s="10"/>
      <c r="D46" s="10"/>
      <c r="E46" s="10"/>
      <c r="F46" s="10"/>
      <c r="G46" s="10"/>
      <c r="H46" s="10"/>
    </row>
    <row r="47" customFormat="false" ht="15" hidden="false" customHeight="false" outlineLevel="0" collapsed="false">
      <c r="A47" s="11" t="s">
        <v>230</v>
      </c>
      <c r="B47" s="26" t="n">
        <f aca="false">Base!$AP$18/Inputs!$B$36</f>
        <v>92750</v>
      </c>
    </row>
    <row r="48" customFormat="false" ht="15" hidden="false" customHeight="false" outlineLevel="0" collapsed="false">
      <c r="A48" s="11" t="s">
        <v>231</v>
      </c>
      <c r="B48" s="26" t="n">
        <f aca="false">IF(Base!$AL$13=0,0,Base!$AL$18*12/Base!$AL$13)</f>
        <v>531562.5</v>
      </c>
    </row>
    <row r="49" customFormat="false" ht="15" hidden="false" customHeight="false" outlineLevel="0" collapsed="false">
      <c r="A49" s="11" t="s">
        <v>232</v>
      </c>
      <c r="B49" s="26" t="n">
        <f aca="false">Inputs!$B$35*12</f>
        <v>42000</v>
      </c>
    </row>
    <row r="50" customFormat="false" ht="15" hidden="false" customHeight="false" outlineLevel="0" collapsed="false">
      <c r="A50" s="11" t="s">
        <v>233</v>
      </c>
      <c r="B50" s="26" t="n">
        <f aca="false">Base!$AL$17*12</f>
        <v>52500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6" t="s">
        <v>234</v>
      </c>
    </row>
    <row r="2" customFormat="false" ht="15" hidden="false" customHeight="false" outlineLevel="0" collapsed="false">
      <c r="A2" s="7" t="s">
        <v>235</v>
      </c>
    </row>
    <row r="4" customFormat="false" ht="15" hidden="false" customHeight="false" outlineLevel="0" collapsed="false">
      <c r="A4" s="8" t="s">
        <v>236</v>
      </c>
      <c r="B4" s="8" t="s">
        <v>237</v>
      </c>
      <c r="C4" s="8" t="s">
        <v>21</v>
      </c>
      <c r="D4" s="8" t="s">
        <v>238</v>
      </c>
    </row>
    <row r="6" customFormat="false" ht="15" hidden="false" customHeight="false" outlineLevel="0" collapsed="false">
      <c r="A6" s="9" t="s">
        <v>239</v>
      </c>
      <c r="B6" s="10"/>
      <c r="C6" s="10"/>
      <c r="D6" s="10"/>
    </row>
    <row r="7" customFormat="false" ht="15" hidden="false" customHeight="false" outlineLevel="0" collapsed="false">
      <c r="A7" s="11" t="s">
        <v>240</v>
      </c>
      <c r="B7" s="32" t="n">
        <f aca="false">Inputs!$B$7</f>
        <v>18.9</v>
      </c>
      <c r="C7" s="14" t="s">
        <v>241</v>
      </c>
      <c r="D7" s="15" t="s">
        <v>242</v>
      </c>
    </row>
    <row r="8" customFormat="false" ht="15" hidden="false" customHeight="false" outlineLevel="0" collapsed="false">
      <c r="A8" s="11" t="s">
        <v>243</v>
      </c>
      <c r="B8" s="32" t="n">
        <f aca="false">Inputs!$B$8</f>
        <v>14.6</v>
      </c>
      <c r="C8" s="14" t="s">
        <v>241</v>
      </c>
      <c r="D8" s="15" t="s">
        <v>242</v>
      </c>
    </row>
    <row r="9" customFormat="false" ht="15" hidden="false" customHeight="false" outlineLevel="0" collapsed="false">
      <c r="A9" s="11" t="s">
        <v>244</v>
      </c>
      <c r="B9" s="32" t="n">
        <f aca="false">Inputs!$B$9</f>
        <v>4.2</v>
      </c>
      <c r="C9" s="14" t="s">
        <v>241</v>
      </c>
      <c r="D9" s="15" t="s">
        <v>245</v>
      </c>
    </row>
    <row r="10" customFormat="false" ht="15" hidden="false" customHeight="false" outlineLevel="0" collapsed="false">
      <c r="A10" s="11" t="s">
        <v>246</v>
      </c>
      <c r="B10" s="32" t="n">
        <f aca="false">Inputs!$B$10</f>
        <v>23.8</v>
      </c>
      <c r="C10" s="14" t="s">
        <v>241</v>
      </c>
      <c r="D10" s="15" t="s">
        <v>247</v>
      </c>
    </row>
    <row r="11" customFormat="false" ht="15" hidden="false" customHeight="false" outlineLevel="0" collapsed="false">
      <c r="A11" s="11" t="s">
        <v>248</v>
      </c>
      <c r="B11" s="33" t="n">
        <f aca="false">SUM(B7:B9)+B10</f>
        <v>61.5</v>
      </c>
      <c r="C11" s="14" t="s">
        <v>241</v>
      </c>
      <c r="D11" s="15" t="s">
        <v>249</v>
      </c>
    </row>
    <row r="12" customFormat="false" ht="15" hidden="false" customHeight="false" outlineLevel="0" collapsed="false">
      <c r="A12" s="11" t="s">
        <v>250</v>
      </c>
      <c r="B12" s="33" t="n">
        <f aca="false">SUM(Inputs!$B$11:$B$16)</f>
        <v>70.9</v>
      </c>
      <c r="C12" s="14" t="s">
        <v>241</v>
      </c>
      <c r="D12" s="15" t="s">
        <v>251</v>
      </c>
    </row>
    <row r="13" customFormat="false" ht="15" hidden="false" customHeight="false" outlineLevel="0" collapsed="false">
      <c r="A13" s="11" t="s">
        <v>252</v>
      </c>
      <c r="B13" s="34" t="n">
        <f aca="false">Inputs!$B$19</f>
        <v>0.65</v>
      </c>
      <c r="C13" s="14" t="s">
        <v>253</v>
      </c>
      <c r="D13" s="15" t="s">
        <v>254</v>
      </c>
    </row>
    <row r="14" customFormat="false" ht="15" hidden="false" customHeight="false" outlineLevel="0" collapsed="false">
      <c r="A14" s="11" t="s">
        <v>255</v>
      </c>
      <c r="B14" s="33" t="n">
        <f aca="false">$B$7+$B$8</f>
        <v>33.5</v>
      </c>
      <c r="C14" s="14" t="s">
        <v>241</v>
      </c>
      <c r="D14" s="15" t="s">
        <v>256</v>
      </c>
    </row>
    <row r="15" customFormat="false" ht="15" hidden="false" customHeight="false" outlineLevel="0" collapsed="false">
      <c r="A15" s="11" t="s">
        <v>257</v>
      </c>
      <c r="B15" s="33" t="n">
        <f aca="false">$B$12*$B$13</f>
        <v>46.085</v>
      </c>
      <c r="C15" s="14" t="s">
        <v>241</v>
      </c>
      <c r="D15" s="15" t="s">
        <v>258</v>
      </c>
    </row>
    <row r="16" customFormat="false" ht="15" hidden="false" customHeight="false" outlineLevel="0" collapsed="false">
      <c r="A16" s="23" t="s">
        <v>259</v>
      </c>
      <c r="B16" s="35" t="n">
        <f aca="false">$B$14+$B$15</f>
        <v>79.585</v>
      </c>
      <c r="C16" s="14" t="s">
        <v>27</v>
      </c>
      <c r="D16" s="15"/>
    </row>
    <row r="18" customFormat="false" ht="15" hidden="false" customHeight="false" outlineLevel="0" collapsed="false">
      <c r="A18" s="9" t="s">
        <v>260</v>
      </c>
      <c r="B18" s="10"/>
      <c r="C18" s="10"/>
      <c r="D18" s="10"/>
    </row>
    <row r="19" customFormat="false" ht="15" hidden="false" customHeight="false" outlineLevel="0" collapsed="false">
      <c r="A19" s="11" t="s">
        <v>63</v>
      </c>
      <c r="B19" s="30" t="n">
        <f aca="false">Inputs!$B$26</f>
        <v>29</v>
      </c>
      <c r="C19" s="14" t="s">
        <v>64</v>
      </c>
      <c r="D19" s="15" t="s">
        <v>261</v>
      </c>
    </row>
    <row r="20" customFormat="false" ht="15" hidden="false" customHeight="false" outlineLevel="0" collapsed="false">
      <c r="A20" s="11" t="s">
        <v>262</v>
      </c>
      <c r="B20" s="30" t="n">
        <f aca="false">Inputs!$B$27</f>
        <v>24</v>
      </c>
      <c r="C20" s="14" t="s">
        <v>64</v>
      </c>
      <c r="D20" s="15" t="s">
        <v>254</v>
      </c>
    </row>
    <row r="21" customFormat="false" ht="15" hidden="false" customHeight="false" outlineLevel="0" collapsed="false">
      <c r="A21" s="11" t="s">
        <v>263</v>
      </c>
      <c r="B21" s="33" t="n">
        <f aca="false">$B$14*$B$19/12</f>
        <v>80.9583333333333</v>
      </c>
      <c r="C21" s="14" t="s">
        <v>241</v>
      </c>
      <c r="D21" s="15" t="s">
        <v>264</v>
      </c>
    </row>
    <row r="22" customFormat="false" ht="15" hidden="false" customHeight="false" outlineLevel="0" collapsed="false">
      <c r="A22" s="11" t="s">
        <v>265</v>
      </c>
      <c r="B22" s="33" t="n">
        <f aca="false">$B$15*$B$20/12</f>
        <v>92.17</v>
      </c>
      <c r="C22" s="14" t="s">
        <v>241</v>
      </c>
      <c r="D22" s="15"/>
    </row>
    <row r="23" customFormat="false" ht="15" hidden="false" customHeight="false" outlineLevel="0" collapsed="false">
      <c r="A23" s="23" t="s">
        <v>266</v>
      </c>
      <c r="B23" s="35" t="n">
        <f aca="false">$B$21+$B$22</f>
        <v>173.128333333333</v>
      </c>
      <c r="C23" s="14" t="s">
        <v>241</v>
      </c>
      <c r="D23" s="15"/>
    </row>
    <row r="25" customFormat="false" ht="15" hidden="false" customHeight="false" outlineLevel="0" collapsed="false">
      <c r="A25" s="9" t="s">
        <v>267</v>
      </c>
      <c r="B25" s="10"/>
      <c r="C25" s="10"/>
      <c r="D25" s="10"/>
    </row>
    <row r="26" customFormat="false" ht="15" hidden="false" customHeight="false" outlineLevel="0" collapsed="false">
      <c r="A26" s="11" t="s">
        <v>53</v>
      </c>
      <c r="B26" s="34" t="n">
        <f aca="false">Inputs!$B$20</f>
        <v>0.88</v>
      </c>
      <c r="C26" s="14" t="s">
        <v>253</v>
      </c>
      <c r="D26" s="15" t="s">
        <v>268</v>
      </c>
    </row>
    <row r="27" customFormat="false" ht="15" hidden="false" customHeight="false" outlineLevel="0" collapsed="false">
      <c r="A27" s="11" t="s">
        <v>55</v>
      </c>
      <c r="B27" s="34" t="n">
        <f aca="false">Inputs!$B$21</f>
        <v>0.731</v>
      </c>
      <c r="C27" s="14" t="s">
        <v>253</v>
      </c>
      <c r="D27" s="15" t="s">
        <v>269</v>
      </c>
    </row>
    <row r="28" customFormat="false" ht="15" hidden="false" customHeight="false" outlineLevel="0" collapsed="false">
      <c r="A28" s="11" t="s">
        <v>270</v>
      </c>
      <c r="B28" s="33" t="n">
        <f aca="false">$B$21*$B$26+$B$22*$B$27</f>
        <v>138.619603333333</v>
      </c>
      <c r="C28" s="14" t="s">
        <v>241</v>
      </c>
      <c r="D28" s="15" t="s">
        <v>271</v>
      </c>
    </row>
    <row r="29" customFormat="false" ht="15" hidden="false" customHeight="false" outlineLevel="0" collapsed="false">
      <c r="A29" s="11" t="s">
        <v>272</v>
      </c>
      <c r="B29" s="33" t="n">
        <f aca="false">$B$23-$B$28</f>
        <v>34.50873</v>
      </c>
      <c r="C29" s="14" t="s">
        <v>241</v>
      </c>
      <c r="D29" s="15" t="s">
        <v>273</v>
      </c>
    </row>
    <row r="31" customFormat="false" ht="15" hidden="false" customHeight="false" outlineLevel="0" collapsed="false">
      <c r="A31" s="9" t="s">
        <v>274</v>
      </c>
      <c r="B31" s="10"/>
      <c r="C31" s="10"/>
      <c r="D31" s="10"/>
    </row>
    <row r="32" customFormat="false" ht="15" hidden="false" customHeight="false" outlineLevel="0" collapsed="false">
      <c r="A32" s="11" t="s">
        <v>69</v>
      </c>
      <c r="B32" s="32" t="n">
        <f aca="false">Inputs!$B$28</f>
        <v>40</v>
      </c>
      <c r="C32" s="14" t="s">
        <v>70</v>
      </c>
      <c r="D32" s="15" t="s">
        <v>254</v>
      </c>
    </row>
    <row r="33" customFormat="false" ht="15" hidden="false" customHeight="false" outlineLevel="0" collapsed="false">
      <c r="A33" s="23" t="s">
        <v>227</v>
      </c>
      <c r="B33" s="36" t="n">
        <f aca="false">IF($B$32=0,0,$B$23*1000/$B$32)</f>
        <v>4328.20833333333</v>
      </c>
      <c r="C33" s="14" t="s">
        <v>103</v>
      </c>
      <c r="D33" s="15" t="s">
        <v>275</v>
      </c>
    </row>
    <row r="34" customFormat="false" ht="15" hidden="false" customHeight="false" outlineLevel="0" collapsed="false">
      <c r="A34" s="11" t="s">
        <v>276</v>
      </c>
      <c r="B34" s="37" t="n">
        <f aca="false">IF($B$32=0,0,$B$28*1000/$B$32)</f>
        <v>3465.49008333333</v>
      </c>
      <c r="C34" s="14" t="s">
        <v>103</v>
      </c>
      <c r="D34" s="15"/>
    </row>
    <row r="35" customFormat="false" ht="15" hidden="false" customHeight="false" outlineLevel="0" collapsed="false">
      <c r="A35" s="11" t="s">
        <v>277</v>
      </c>
      <c r="B35" s="37" t="n">
        <f aca="false">$B$33-$B$34</f>
        <v>862.718250000001</v>
      </c>
      <c r="C35" s="14" t="s">
        <v>103</v>
      </c>
      <c r="D35" s="15"/>
    </row>
    <row r="36" customFormat="false" ht="15" hidden="false" customHeight="false" outlineLevel="0" collapsed="false">
      <c r="A36" s="11" t="s">
        <v>278</v>
      </c>
      <c r="B36" s="38" t="n">
        <f aca="false">Inputs!$B$29</f>
        <v>1</v>
      </c>
      <c r="C36" s="14" t="s">
        <v>73</v>
      </c>
      <c r="D36" s="15" t="s">
        <v>254</v>
      </c>
    </row>
    <row r="37" customFormat="false" ht="15" hidden="false" customHeight="false" outlineLevel="0" collapsed="false">
      <c r="A37" s="11" t="s">
        <v>89</v>
      </c>
      <c r="B37" s="39" t="n">
        <f aca="false">Inputs!$B$36</f>
        <v>15</v>
      </c>
      <c r="C37" s="14" t="s">
        <v>90</v>
      </c>
      <c r="D37" s="15" t="s">
        <v>279</v>
      </c>
    </row>
    <row r="38" customFormat="false" ht="15" hidden="false" customHeight="false" outlineLevel="0" collapsed="false">
      <c r="A38" s="11" t="s">
        <v>280</v>
      </c>
      <c r="B38" s="40" t="n">
        <f aca="false">MIN(MAX($B$32*$B$36*1000000*$B$37/10000,Inputs!$B$37*12),Inputs!$B$38*12)</f>
        <v>60000</v>
      </c>
      <c r="C38" s="14" t="s">
        <v>133</v>
      </c>
      <c r="D38" s="15" t="s">
        <v>281</v>
      </c>
    </row>
    <row r="39" customFormat="false" ht="15" hidden="false" customHeight="false" outlineLevel="0" collapsed="false">
      <c r="A39" s="11" t="s">
        <v>282</v>
      </c>
      <c r="B39" s="40" t="n">
        <f aca="false">Inputs!$B$35*12</f>
        <v>42000</v>
      </c>
      <c r="C39" s="14" t="s">
        <v>133</v>
      </c>
      <c r="D39" s="15"/>
    </row>
    <row r="41" customFormat="false" ht="15" hidden="false" customHeight="false" outlineLevel="0" collapsed="false">
      <c r="A41" s="9" t="s">
        <v>283</v>
      </c>
      <c r="B41" s="10"/>
      <c r="C41" s="10"/>
      <c r="D41" s="10"/>
    </row>
    <row r="42" customFormat="false" ht="15" hidden="false" customHeight="false" outlineLevel="0" collapsed="false">
      <c r="A42" s="11" t="s">
        <v>284</v>
      </c>
      <c r="B42" s="41" t="n">
        <f aca="false">$B$34*$B$38/1000000</f>
        <v>207.929405</v>
      </c>
      <c r="C42" s="14" t="s">
        <v>82</v>
      </c>
      <c r="D42" s="15"/>
    </row>
    <row r="43" customFormat="false" ht="15" hidden="false" customHeight="false" outlineLevel="0" collapsed="false">
      <c r="A43" s="11" t="s">
        <v>285</v>
      </c>
      <c r="B43" s="41" t="n">
        <f aca="false">$B$35*$B$39/1000000</f>
        <v>36.2341665000001</v>
      </c>
      <c r="C43" s="14" t="s">
        <v>82</v>
      </c>
      <c r="D43" s="15"/>
    </row>
    <row r="44" customFormat="false" ht="15" hidden="false" customHeight="false" outlineLevel="0" collapsed="false">
      <c r="A44" s="23" t="s">
        <v>286</v>
      </c>
      <c r="B44" s="42" t="n">
        <f aca="false">$B$42+$B$43</f>
        <v>244.1635715</v>
      </c>
      <c r="C44" s="14" t="s">
        <v>82</v>
      </c>
      <c r="D44" s="15" t="s">
        <v>287</v>
      </c>
    </row>
    <row r="45" customFormat="false" ht="15" hidden="false" customHeight="false" outlineLevel="0" collapsed="false">
      <c r="A45" s="11" t="s">
        <v>288</v>
      </c>
      <c r="B45" s="34" t="n">
        <f aca="false">Inputs!$B$22</f>
        <v>0.196</v>
      </c>
      <c r="C45" s="14" t="s">
        <v>253</v>
      </c>
      <c r="D45" s="15" t="s">
        <v>268</v>
      </c>
    </row>
    <row r="46" customFormat="false" ht="15" hidden="false" customHeight="false" outlineLevel="0" collapsed="false">
      <c r="A46" s="11" t="s">
        <v>289</v>
      </c>
      <c r="B46" s="34" t="n">
        <f aca="false">Inputs!$B$23</f>
        <v>0.182</v>
      </c>
      <c r="C46" s="14" t="s">
        <v>253</v>
      </c>
      <c r="D46" s="15" t="s">
        <v>254</v>
      </c>
    </row>
    <row r="47" customFormat="false" ht="15" hidden="false" customHeight="false" outlineLevel="0" collapsed="false">
      <c r="A47" s="11" t="s">
        <v>290</v>
      </c>
      <c r="B47" s="33" t="n">
        <f aca="false">$B$21*$B$45*$B$26+$B$22*$B$46*$B$27</f>
        <v>26.2261744733333</v>
      </c>
      <c r="C47" s="14" t="s">
        <v>241</v>
      </c>
      <c r="D47" s="15"/>
    </row>
    <row r="48" customFormat="false" ht="15" hidden="false" customHeight="false" outlineLevel="0" collapsed="false">
      <c r="A48" s="11" t="s">
        <v>291</v>
      </c>
      <c r="B48" s="33" t="n">
        <f aca="false">$B$21*$B$45*(1-$B$26)+$B$22*$B$46*(1-$B$27)</f>
        <v>6.41659886</v>
      </c>
      <c r="C48" s="14" t="s">
        <v>241</v>
      </c>
      <c r="D48" s="15"/>
    </row>
    <row r="49" customFormat="false" ht="15" hidden="false" customHeight="false" outlineLevel="0" collapsed="false">
      <c r="A49" s="11" t="s">
        <v>228</v>
      </c>
      <c r="B49" s="37" t="n">
        <f aca="false">IF($B$32=0,0,($B$47+$B$48)*1000/$B$32)</f>
        <v>816.069333333334</v>
      </c>
      <c r="C49" s="14" t="s">
        <v>103</v>
      </c>
      <c r="D49" s="15"/>
    </row>
    <row r="50" customFormat="false" ht="23.85" hidden="false" customHeight="false" outlineLevel="0" collapsed="false">
      <c r="A50" s="23" t="s">
        <v>292</v>
      </c>
      <c r="B50" s="42" t="n">
        <f aca="false">IF($B$32=0,0,($B$47*1000/$B$32*$B$38+$B$48*1000/$B$32*$B$39)/1000000)</f>
        <v>46.076690513</v>
      </c>
      <c r="C50" s="14" t="s">
        <v>82</v>
      </c>
      <c r="D50" s="15" t="s">
        <v>293</v>
      </c>
    </row>
    <row r="51" customFormat="false" ht="15" hidden="false" customHeight="false" outlineLevel="0" collapsed="false">
      <c r="A51" s="23" t="s">
        <v>294</v>
      </c>
      <c r="B51" s="43" t="n">
        <f aca="false">Base!$AL$21/1000000</f>
        <v>3.62597709998432</v>
      </c>
      <c r="C51" s="14" t="s">
        <v>82</v>
      </c>
      <c r="D51" s="15" t="s">
        <v>295</v>
      </c>
    </row>
    <row r="52" customFormat="false" ht="15" hidden="false" customHeight="false" outlineLevel="0" collapsed="false">
      <c r="A52" s="11" t="s">
        <v>296</v>
      </c>
      <c r="B52" s="44" t="n">
        <f aca="false">IF($B$50=0,0,$B$51/$B$50)</f>
        <v>0.0786943910166746</v>
      </c>
      <c r="C52" s="14" t="s">
        <v>253</v>
      </c>
      <c r="D52" s="15"/>
    </row>
    <row r="53" customFormat="false" ht="15" hidden="false" customHeight="false" outlineLevel="0" collapsed="false">
      <c r="A53" s="11" t="s">
        <v>297</v>
      </c>
      <c r="B53" s="31" t="n">
        <f aca="false">Conservative!$AL$21/1000000</f>
        <v>1.52004735712356</v>
      </c>
      <c r="C53" s="14" t="s">
        <v>82</v>
      </c>
      <c r="D53" s="15"/>
    </row>
    <row r="55" customFormat="false" ht="15" hidden="false" customHeight="false" outlineLevel="0" collapsed="false">
      <c r="A55" s="9" t="s">
        <v>298</v>
      </c>
      <c r="B55" s="10"/>
      <c r="C55" s="10"/>
      <c r="D55" s="10"/>
    </row>
    <row r="56" customFormat="false" ht="15" hidden="false" customHeight="false" outlineLevel="0" collapsed="false">
      <c r="A56" s="11" t="s">
        <v>81</v>
      </c>
      <c r="B56" s="29" t="n">
        <f aca="false">Inputs!$B$32</f>
        <v>711</v>
      </c>
      <c r="C56" s="14" t="s">
        <v>82</v>
      </c>
      <c r="D56" s="15" t="s">
        <v>299</v>
      </c>
    </row>
    <row r="57" customFormat="false" ht="15" hidden="false" customHeight="false" outlineLevel="0" collapsed="false">
      <c r="A57" s="11" t="s">
        <v>300</v>
      </c>
      <c r="B57" s="44" t="n">
        <f aca="false">IF($B$56=0,0,$B$44/$B$56)</f>
        <v>0.343408680028129</v>
      </c>
      <c r="C57" s="14" t="s">
        <v>253</v>
      </c>
      <c r="D57" s="15"/>
    </row>
    <row r="58" customFormat="false" ht="15" hidden="false" customHeight="false" outlineLevel="0" collapsed="false">
      <c r="A58" s="11" t="s">
        <v>301</v>
      </c>
      <c r="B58" s="33" t="n">
        <f aca="false">$B$23*Inputs!$B$30</f>
        <v>8.65641666666667</v>
      </c>
      <c r="C58" s="14" t="s">
        <v>241</v>
      </c>
      <c r="D58" s="15" t="s">
        <v>302</v>
      </c>
    </row>
    <row r="59" customFormat="false" ht="15" hidden="false" customHeight="false" outlineLevel="0" collapsed="false">
      <c r="A59" s="11" t="s">
        <v>303</v>
      </c>
      <c r="B59" s="41" t="n">
        <f aca="false">$B$58*Inputs!$B$31*1000</f>
        <v>86.5641666666667</v>
      </c>
      <c r="C59" s="14" t="s">
        <v>82</v>
      </c>
      <c r="D59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8" min="3" style="0" width="10.51"/>
    <col collapsed="false" customWidth="true" hidden="false" outlineLevel="0" max="39" min="39" style="0" width="3"/>
    <col collapsed="false" customWidth="true" hidden="false" outlineLevel="0" max="42" min="40" style="0" width="13"/>
  </cols>
  <sheetData>
    <row r="1" customFormat="false" ht="17.35" hidden="false" customHeight="false" outlineLevel="0" collapsed="false">
      <c r="A1" s="6" t="s">
        <v>304</v>
      </c>
    </row>
    <row r="2" customFormat="false" ht="15" hidden="false" customHeight="false" outlineLevel="0" collapsed="false">
      <c r="A2" s="7" t="s">
        <v>305</v>
      </c>
    </row>
    <row r="3" customFormat="false" ht="15" hidden="false" customHeight="false" outlineLevel="0" collapsed="false">
      <c r="A3" s="23" t="s">
        <v>306</v>
      </c>
      <c r="C3" s="25" t="n">
        <v>1</v>
      </c>
      <c r="D3" s="25" t="n">
        <f aca="false">C3+1</f>
        <v>2</v>
      </c>
      <c r="E3" s="25" t="n">
        <f aca="false">D3+1</f>
        <v>3</v>
      </c>
      <c r="F3" s="25" t="n">
        <f aca="false">E3+1</f>
        <v>4</v>
      </c>
      <c r="G3" s="25" t="n">
        <f aca="false">F3+1</f>
        <v>5</v>
      </c>
      <c r="H3" s="25" t="n">
        <f aca="false">G3+1</f>
        <v>6</v>
      </c>
      <c r="I3" s="25" t="n">
        <f aca="false">H3+1</f>
        <v>7</v>
      </c>
      <c r="J3" s="25" t="n">
        <f aca="false">I3+1</f>
        <v>8</v>
      </c>
      <c r="K3" s="25" t="n">
        <f aca="false">J3+1</f>
        <v>9</v>
      </c>
      <c r="L3" s="25" t="n">
        <f aca="false">K3+1</f>
        <v>10</v>
      </c>
      <c r="M3" s="25" t="n">
        <f aca="false">L3+1</f>
        <v>11</v>
      </c>
      <c r="N3" s="25" t="n">
        <f aca="false">M3+1</f>
        <v>12</v>
      </c>
      <c r="O3" s="25" t="n">
        <f aca="false">N3+1</f>
        <v>13</v>
      </c>
      <c r="P3" s="25" t="n">
        <f aca="false">O3+1</f>
        <v>14</v>
      </c>
      <c r="Q3" s="25" t="n">
        <f aca="false">P3+1</f>
        <v>15</v>
      </c>
      <c r="R3" s="25" t="n">
        <f aca="false">Q3+1</f>
        <v>16</v>
      </c>
      <c r="S3" s="25" t="n">
        <f aca="false">R3+1</f>
        <v>17</v>
      </c>
      <c r="T3" s="25" t="n">
        <f aca="false">S3+1</f>
        <v>18</v>
      </c>
      <c r="U3" s="25" t="n">
        <f aca="false">T3+1</f>
        <v>19</v>
      </c>
      <c r="V3" s="25" t="n">
        <f aca="false">U3+1</f>
        <v>20</v>
      </c>
      <c r="W3" s="25" t="n">
        <f aca="false">V3+1</f>
        <v>21</v>
      </c>
      <c r="X3" s="25" t="n">
        <f aca="false">W3+1</f>
        <v>22</v>
      </c>
      <c r="Y3" s="25" t="n">
        <f aca="false">X3+1</f>
        <v>23</v>
      </c>
      <c r="Z3" s="25" t="n">
        <f aca="false">Y3+1</f>
        <v>24</v>
      </c>
      <c r="AA3" s="25" t="n">
        <f aca="false">Z3+1</f>
        <v>25</v>
      </c>
      <c r="AB3" s="25" t="n">
        <f aca="false">AA3+1</f>
        <v>26</v>
      </c>
      <c r="AC3" s="25" t="n">
        <f aca="false">AB3+1</f>
        <v>27</v>
      </c>
      <c r="AD3" s="25" t="n">
        <f aca="false">AC3+1</f>
        <v>28</v>
      </c>
      <c r="AE3" s="25" t="n">
        <f aca="false">AD3+1</f>
        <v>29</v>
      </c>
      <c r="AF3" s="25" t="n">
        <f aca="false">AE3+1</f>
        <v>30</v>
      </c>
      <c r="AG3" s="25" t="n">
        <f aca="false">AF3+1</f>
        <v>31</v>
      </c>
      <c r="AH3" s="25" t="n">
        <f aca="false">AG3+1</f>
        <v>32</v>
      </c>
      <c r="AI3" s="25" t="n">
        <f aca="false">AH3+1</f>
        <v>33</v>
      </c>
      <c r="AJ3" s="25" t="n">
        <f aca="false">AI3+1</f>
        <v>34</v>
      </c>
      <c r="AK3" s="25" t="n">
        <f aca="false">AJ3+1</f>
        <v>35</v>
      </c>
      <c r="AL3" s="25" t="n">
        <f aca="false">AK3+1</f>
        <v>36</v>
      </c>
      <c r="AN3" s="25" t="s">
        <v>196</v>
      </c>
      <c r="AO3" s="25" t="s">
        <v>197</v>
      </c>
      <c r="AP3" s="25" t="s">
        <v>198</v>
      </c>
    </row>
    <row r="4" customFormat="false" ht="15" hidden="false" customHeight="false" outlineLevel="0" collapsed="false">
      <c r="A4" s="23" t="s">
        <v>307</v>
      </c>
      <c r="C4" s="45" t="n">
        <f aca="false">ROUNDUP(C3/12,0)</f>
        <v>1</v>
      </c>
      <c r="D4" s="45" t="n">
        <f aca="false">ROUNDUP(D3/12,0)</f>
        <v>1</v>
      </c>
      <c r="E4" s="45" t="n">
        <f aca="false">ROUNDUP(E3/12,0)</f>
        <v>1</v>
      </c>
      <c r="F4" s="45" t="n">
        <f aca="false">ROUNDUP(F3/12,0)</f>
        <v>1</v>
      </c>
      <c r="G4" s="45" t="n">
        <f aca="false">ROUNDUP(G3/12,0)</f>
        <v>1</v>
      </c>
      <c r="H4" s="45" t="n">
        <f aca="false">ROUNDUP(H3/12,0)</f>
        <v>1</v>
      </c>
      <c r="I4" s="45" t="n">
        <f aca="false">ROUNDUP(I3/12,0)</f>
        <v>1</v>
      </c>
      <c r="J4" s="45" t="n">
        <f aca="false">ROUNDUP(J3/12,0)</f>
        <v>1</v>
      </c>
      <c r="K4" s="45" t="n">
        <f aca="false">ROUNDUP(K3/12,0)</f>
        <v>1</v>
      </c>
      <c r="L4" s="45" t="n">
        <f aca="false">ROUNDUP(L3/12,0)</f>
        <v>1</v>
      </c>
      <c r="M4" s="45" t="n">
        <f aca="false">ROUNDUP(M3/12,0)</f>
        <v>1</v>
      </c>
      <c r="N4" s="45" t="n">
        <f aca="false">ROUNDUP(N3/12,0)</f>
        <v>1</v>
      </c>
      <c r="O4" s="45" t="n">
        <f aca="false">ROUNDUP(O3/12,0)</f>
        <v>2</v>
      </c>
      <c r="P4" s="45" t="n">
        <f aca="false">ROUNDUP(P3/12,0)</f>
        <v>2</v>
      </c>
      <c r="Q4" s="45" t="n">
        <f aca="false">ROUNDUP(Q3/12,0)</f>
        <v>2</v>
      </c>
      <c r="R4" s="45" t="n">
        <f aca="false">ROUNDUP(R3/12,0)</f>
        <v>2</v>
      </c>
      <c r="S4" s="45" t="n">
        <f aca="false">ROUNDUP(S3/12,0)</f>
        <v>2</v>
      </c>
      <c r="T4" s="45" t="n">
        <f aca="false">ROUNDUP(T3/12,0)</f>
        <v>2</v>
      </c>
      <c r="U4" s="45" t="n">
        <f aca="false">ROUNDUP(U3/12,0)</f>
        <v>2</v>
      </c>
      <c r="V4" s="45" t="n">
        <f aca="false">ROUNDUP(V3/12,0)</f>
        <v>2</v>
      </c>
      <c r="W4" s="45" t="n">
        <f aca="false">ROUNDUP(W3/12,0)</f>
        <v>2</v>
      </c>
      <c r="X4" s="45" t="n">
        <f aca="false">ROUNDUP(X3/12,0)</f>
        <v>2</v>
      </c>
      <c r="Y4" s="45" t="n">
        <f aca="false">ROUNDUP(Y3/12,0)</f>
        <v>2</v>
      </c>
      <c r="Z4" s="45" t="n">
        <f aca="false">ROUNDUP(Z3/12,0)</f>
        <v>2</v>
      </c>
      <c r="AA4" s="45" t="n">
        <f aca="false">ROUNDUP(AA3/12,0)</f>
        <v>3</v>
      </c>
      <c r="AB4" s="45" t="n">
        <f aca="false">ROUNDUP(AB3/12,0)</f>
        <v>3</v>
      </c>
      <c r="AC4" s="45" t="n">
        <f aca="false">ROUNDUP(AC3/12,0)</f>
        <v>3</v>
      </c>
      <c r="AD4" s="45" t="n">
        <f aca="false">ROUNDUP(AD3/12,0)</f>
        <v>3</v>
      </c>
      <c r="AE4" s="45" t="n">
        <f aca="false">ROUNDUP(AE3/12,0)</f>
        <v>3</v>
      </c>
      <c r="AF4" s="45" t="n">
        <f aca="false">ROUNDUP(AF3/12,0)</f>
        <v>3</v>
      </c>
      <c r="AG4" s="45" t="n">
        <f aca="false">ROUNDUP(AG3/12,0)</f>
        <v>3</v>
      </c>
      <c r="AH4" s="45" t="n">
        <f aca="false">ROUNDUP(AH3/12,0)</f>
        <v>3</v>
      </c>
      <c r="AI4" s="45" t="n">
        <f aca="false">ROUNDUP(AI3/12,0)</f>
        <v>3</v>
      </c>
      <c r="AJ4" s="45" t="n">
        <f aca="false">ROUNDUP(AJ3/12,0)</f>
        <v>3</v>
      </c>
      <c r="AK4" s="45" t="n">
        <f aca="false">ROUNDUP(AK3/12,0)</f>
        <v>3</v>
      </c>
      <c r="AL4" s="45" t="n">
        <f aca="false">ROUNDUP(AL3/12,0)</f>
        <v>3</v>
      </c>
      <c r="AN4" s="7" t="s">
        <v>308</v>
      </c>
      <c r="AO4" s="7" t="s">
        <v>308</v>
      </c>
      <c r="AP4" s="7" t="s">
        <v>308</v>
      </c>
    </row>
    <row r="6" customFormat="false" ht="15" hidden="false" customHeight="false" outlineLevel="0" collapsed="false">
      <c r="A6" s="9" t="s">
        <v>309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customFormat="false" ht="15" hidden="false" customHeight="false" outlineLevel="0" collapsed="false">
      <c r="A7" s="11" t="s">
        <v>310</v>
      </c>
      <c r="B7" s="14" t="s">
        <v>103</v>
      </c>
      <c r="C7" s="33" t="n">
        <f aca="false">IF(AND(C$3&gt;=Inputs!$B$42,C$3&lt;Inputs!$B$44),Inputs!$B$43,0)</f>
        <v>0</v>
      </c>
      <c r="D7" s="33" t="n">
        <f aca="false">IF(AND(D$3&gt;=Inputs!$B$42,D$3&lt;Inputs!$B$44),Inputs!$B$43,0)</f>
        <v>0</v>
      </c>
      <c r="E7" s="33" t="n">
        <f aca="false">IF(AND(E$3&gt;=Inputs!$B$42,E$3&lt;Inputs!$B$44),Inputs!$B$43,0)</f>
        <v>2</v>
      </c>
      <c r="F7" s="33" t="n">
        <f aca="false">IF(AND(F$3&gt;=Inputs!$B$42,F$3&lt;Inputs!$B$44),Inputs!$B$43,0)</f>
        <v>2</v>
      </c>
      <c r="G7" s="33" t="n">
        <f aca="false">IF(AND(G$3&gt;=Inputs!$B$42,G$3&lt;Inputs!$B$44),Inputs!$B$43,0)</f>
        <v>2</v>
      </c>
      <c r="H7" s="33" t="n">
        <f aca="false">IF(AND(H$3&gt;=Inputs!$B$42,H$3&lt;Inputs!$B$44),Inputs!$B$43,0)</f>
        <v>0</v>
      </c>
      <c r="I7" s="33" t="n">
        <f aca="false">IF(AND(I$3&gt;=Inputs!$B$42,I$3&lt;Inputs!$B$44),Inputs!$B$43,0)</f>
        <v>0</v>
      </c>
      <c r="J7" s="33" t="n">
        <f aca="false">IF(AND(J$3&gt;=Inputs!$B$42,J$3&lt;Inputs!$B$44),Inputs!$B$43,0)</f>
        <v>0</v>
      </c>
      <c r="K7" s="33" t="n">
        <f aca="false">IF(AND(K$3&gt;=Inputs!$B$42,K$3&lt;Inputs!$B$44),Inputs!$B$43,0)</f>
        <v>0</v>
      </c>
      <c r="L7" s="33" t="n">
        <f aca="false">IF(AND(L$3&gt;=Inputs!$B$42,L$3&lt;Inputs!$B$44),Inputs!$B$43,0)</f>
        <v>0</v>
      </c>
      <c r="M7" s="33" t="n">
        <f aca="false">IF(AND(M$3&gt;=Inputs!$B$42,M$3&lt;Inputs!$B$44),Inputs!$B$43,0)</f>
        <v>0</v>
      </c>
      <c r="N7" s="33" t="n">
        <f aca="false">IF(AND(N$3&gt;=Inputs!$B$42,N$3&lt;Inputs!$B$44),Inputs!$B$43,0)</f>
        <v>0</v>
      </c>
      <c r="O7" s="33" t="n">
        <f aca="false">IF(AND(O$3&gt;=Inputs!$B$42,O$3&lt;Inputs!$B$44),Inputs!$B$43,0)</f>
        <v>0</v>
      </c>
      <c r="P7" s="33" t="n">
        <f aca="false">IF(AND(P$3&gt;=Inputs!$B$42,P$3&lt;Inputs!$B$44),Inputs!$B$43,0)</f>
        <v>0</v>
      </c>
      <c r="Q7" s="33" t="n">
        <f aca="false">IF(AND(Q$3&gt;=Inputs!$B$42,Q$3&lt;Inputs!$B$44),Inputs!$B$43,0)</f>
        <v>0</v>
      </c>
      <c r="R7" s="33" t="n">
        <f aca="false">IF(AND(R$3&gt;=Inputs!$B$42,R$3&lt;Inputs!$B$44),Inputs!$B$43,0)</f>
        <v>0</v>
      </c>
      <c r="S7" s="33" t="n">
        <f aca="false">IF(AND(S$3&gt;=Inputs!$B$42,S$3&lt;Inputs!$B$44),Inputs!$B$43,0)</f>
        <v>0</v>
      </c>
      <c r="T7" s="33" t="n">
        <f aca="false">IF(AND(T$3&gt;=Inputs!$B$42,T$3&lt;Inputs!$B$44),Inputs!$B$43,0)</f>
        <v>0</v>
      </c>
      <c r="U7" s="33" t="n">
        <f aca="false">IF(AND(U$3&gt;=Inputs!$B$42,U$3&lt;Inputs!$B$44),Inputs!$B$43,0)</f>
        <v>0</v>
      </c>
      <c r="V7" s="33" t="n">
        <f aca="false">IF(AND(V$3&gt;=Inputs!$B$42,V$3&lt;Inputs!$B$44),Inputs!$B$43,0)</f>
        <v>0</v>
      </c>
      <c r="W7" s="33" t="n">
        <f aca="false">IF(AND(W$3&gt;=Inputs!$B$42,W$3&lt;Inputs!$B$44),Inputs!$B$43,0)</f>
        <v>0</v>
      </c>
      <c r="X7" s="33" t="n">
        <f aca="false">IF(AND(X$3&gt;=Inputs!$B$42,X$3&lt;Inputs!$B$44),Inputs!$B$43,0)</f>
        <v>0</v>
      </c>
      <c r="Y7" s="33" t="n">
        <f aca="false">IF(AND(Y$3&gt;=Inputs!$B$42,Y$3&lt;Inputs!$B$44),Inputs!$B$43,0)</f>
        <v>0</v>
      </c>
      <c r="Z7" s="33" t="n">
        <f aca="false">IF(AND(Z$3&gt;=Inputs!$B$42,Z$3&lt;Inputs!$B$44),Inputs!$B$43,0)</f>
        <v>0</v>
      </c>
      <c r="AA7" s="33" t="n">
        <f aca="false">IF(AND(AA$3&gt;=Inputs!$B$42,AA$3&lt;Inputs!$B$44),Inputs!$B$43,0)</f>
        <v>0</v>
      </c>
      <c r="AB7" s="33" t="n">
        <f aca="false">IF(AND(AB$3&gt;=Inputs!$B$42,AB$3&lt;Inputs!$B$44),Inputs!$B$43,0)</f>
        <v>0</v>
      </c>
      <c r="AC7" s="33" t="n">
        <f aca="false">IF(AND(AC$3&gt;=Inputs!$B$42,AC$3&lt;Inputs!$B$44),Inputs!$B$43,0)</f>
        <v>0</v>
      </c>
      <c r="AD7" s="33" t="n">
        <f aca="false">IF(AND(AD$3&gt;=Inputs!$B$42,AD$3&lt;Inputs!$B$44),Inputs!$B$43,0)</f>
        <v>0</v>
      </c>
      <c r="AE7" s="33" t="n">
        <f aca="false">IF(AND(AE$3&gt;=Inputs!$B$42,AE$3&lt;Inputs!$B$44),Inputs!$B$43,0)</f>
        <v>0</v>
      </c>
      <c r="AF7" s="33" t="n">
        <f aca="false">IF(AND(AF$3&gt;=Inputs!$B$42,AF$3&lt;Inputs!$B$44),Inputs!$B$43,0)</f>
        <v>0</v>
      </c>
      <c r="AG7" s="33" t="n">
        <f aca="false">IF(AND(AG$3&gt;=Inputs!$B$42,AG$3&lt;Inputs!$B$44),Inputs!$B$43,0)</f>
        <v>0</v>
      </c>
      <c r="AH7" s="33" t="n">
        <f aca="false">IF(AND(AH$3&gt;=Inputs!$B$42,AH$3&lt;Inputs!$B$44),Inputs!$B$43,0)</f>
        <v>0</v>
      </c>
      <c r="AI7" s="33" t="n">
        <f aca="false">IF(AND(AI$3&gt;=Inputs!$B$42,AI$3&lt;Inputs!$B$44),Inputs!$B$43,0)</f>
        <v>0</v>
      </c>
      <c r="AJ7" s="33" t="n">
        <f aca="false">IF(AND(AJ$3&gt;=Inputs!$B$42,AJ$3&lt;Inputs!$B$44),Inputs!$B$43,0)</f>
        <v>0</v>
      </c>
      <c r="AK7" s="33" t="n">
        <f aca="false">IF(AND(AK$3&gt;=Inputs!$B$42,AK$3&lt;Inputs!$B$44),Inputs!$B$43,0)</f>
        <v>0</v>
      </c>
      <c r="AL7" s="33" t="n">
        <f aca="false">IF(AND(AL$3&gt;=Inputs!$B$42,AL$3&lt;Inputs!$B$44),Inputs!$B$43,0)</f>
        <v>0</v>
      </c>
      <c r="AN7" s="46" t="n">
        <f aca="false">INDEX($C7:$AL7,1,12)</f>
        <v>0</v>
      </c>
      <c r="AO7" s="46" t="n">
        <f aca="false">INDEX($C7:$AL7,1,24)</f>
        <v>0</v>
      </c>
      <c r="AP7" s="46" t="n">
        <f aca="false">INDEX($C7:$AL7,1,36)</f>
        <v>0</v>
      </c>
    </row>
    <row r="8" customFormat="false" ht="15" hidden="false" customHeight="false" outlineLevel="0" collapsed="false">
      <c r="A8" s="11" t="s">
        <v>311</v>
      </c>
      <c r="B8" s="14" t="s">
        <v>103</v>
      </c>
      <c r="C8" s="33" t="n">
        <f aca="false">IF(C$3&lt;=Inputs!$B$44,0,CHOOSE(C$4,Inputs!$B$45,Inputs!$B$46,Inputs!$B$47))</f>
        <v>0</v>
      </c>
      <c r="D8" s="33" t="n">
        <f aca="false">IF(D$3&lt;=Inputs!$B$44,0,CHOOSE(D$4,Inputs!$B$45,Inputs!$B$46,Inputs!$B$47))</f>
        <v>0</v>
      </c>
      <c r="E8" s="33" t="n">
        <f aca="false">IF(E$3&lt;=Inputs!$B$44,0,CHOOSE(E$4,Inputs!$B$45,Inputs!$B$46,Inputs!$B$47))</f>
        <v>0</v>
      </c>
      <c r="F8" s="33" t="n">
        <f aca="false">IF(F$3&lt;=Inputs!$B$44,0,CHOOSE(F$4,Inputs!$B$45,Inputs!$B$46,Inputs!$B$47))</f>
        <v>0</v>
      </c>
      <c r="G8" s="33" t="n">
        <f aca="false">IF(G$3&lt;=Inputs!$B$44,0,CHOOSE(G$4,Inputs!$B$45,Inputs!$B$46,Inputs!$B$47))</f>
        <v>0</v>
      </c>
      <c r="H8" s="33" t="n">
        <f aca="false">IF(H$3&lt;=Inputs!$B$44,0,CHOOSE(H$4,Inputs!$B$45,Inputs!$B$46,Inputs!$B$47))</f>
        <v>0</v>
      </c>
      <c r="I8" s="33" t="n">
        <f aca="false">IF(I$3&lt;=Inputs!$B$44,0,CHOOSE(I$4,Inputs!$B$45,Inputs!$B$46,Inputs!$B$47))</f>
        <v>1</v>
      </c>
      <c r="J8" s="33" t="n">
        <f aca="false">IF(J$3&lt;=Inputs!$B$44,0,CHOOSE(J$4,Inputs!$B$45,Inputs!$B$46,Inputs!$B$47))</f>
        <v>1</v>
      </c>
      <c r="K8" s="33" t="n">
        <f aca="false">IF(K$3&lt;=Inputs!$B$44,0,CHOOSE(K$4,Inputs!$B$45,Inputs!$B$46,Inputs!$B$47))</f>
        <v>1</v>
      </c>
      <c r="L8" s="33" t="n">
        <f aca="false">IF(L$3&lt;=Inputs!$B$44,0,CHOOSE(L$4,Inputs!$B$45,Inputs!$B$46,Inputs!$B$47))</f>
        <v>1</v>
      </c>
      <c r="M8" s="33" t="n">
        <f aca="false">IF(M$3&lt;=Inputs!$B$44,0,CHOOSE(M$4,Inputs!$B$45,Inputs!$B$46,Inputs!$B$47))</f>
        <v>1</v>
      </c>
      <c r="N8" s="33" t="n">
        <f aca="false">IF(N$3&lt;=Inputs!$B$44,0,CHOOSE(N$4,Inputs!$B$45,Inputs!$B$46,Inputs!$B$47))</f>
        <v>1</v>
      </c>
      <c r="O8" s="33" t="n">
        <f aca="false">IF(O$3&lt;=Inputs!$B$44,0,CHOOSE(O$4,Inputs!$B$45,Inputs!$B$46,Inputs!$B$47))</f>
        <v>1.25</v>
      </c>
      <c r="P8" s="33" t="n">
        <f aca="false">IF(P$3&lt;=Inputs!$B$44,0,CHOOSE(P$4,Inputs!$B$45,Inputs!$B$46,Inputs!$B$47))</f>
        <v>1.25</v>
      </c>
      <c r="Q8" s="33" t="n">
        <f aca="false">IF(Q$3&lt;=Inputs!$B$44,0,CHOOSE(Q$4,Inputs!$B$45,Inputs!$B$46,Inputs!$B$47))</f>
        <v>1.25</v>
      </c>
      <c r="R8" s="33" t="n">
        <f aca="false">IF(R$3&lt;=Inputs!$B$44,0,CHOOSE(R$4,Inputs!$B$45,Inputs!$B$46,Inputs!$B$47))</f>
        <v>1.25</v>
      </c>
      <c r="S8" s="33" t="n">
        <f aca="false">IF(S$3&lt;=Inputs!$B$44,0,CHOOSE(S$4,Inputs!$B$45,Inputs!$B$46,Inputs!$B$47))</f>
        <v>1.25</v>
      </c>
      <c r="T8" s="33" t="n">
        <f aca="false">IF(T$3&lt;=Inputs!$B$44,0,CHOOSE(T$4,Inputs!$B$45,Inputs!$B$46,Inputs!$B$47))</f>
        <v>1.25</v>
      </c>
      <c r="U8" s="33" t="n">
        <f aca="false">IF(U$3&lt;=Inputs!$B$44,0,CHOOSE(U$4,Inputs!$B$45,Inputs!$B$46,Inputs!$B$47))</f>
        <v>1.25</v>
      </c>
      <c r="V8" s="33" t="n">
        <f aca="false">IF(V$3&lt;=Inputs!$B$44,0,CHOOSE(V$4,Inputs!$B$45,Inputs!$B$46,Inputs!$B$47))</f>
        <v>1.25</v>
      </c>
      <c r="W8" s="33" t="n">
        <f aca="false">IF(W$3&lt;=Inputs!$B$44,0,CHOOSE(W$4,Inputs!$B$45,Inputs!$B$46,Inputs!$B$47))</f>
        <v>1.25</v>
      </c>
      <c r="X8" s="33" t="n">
        <f aca="false">IF(X$3&lt;=Inputs!$B$44,0,CHOOSE(X$4,Inputs!$B$45,Inputs!$B$46,Inputs!$B$47))</f>
        <v>1.25</v>
      </c>
      <c r="Y8" s="33" t="n">
        <f aca="false">IF(Y$3&lt;=Inputs!$B$44,0,CHOOSE(Y$4,Inputs!$B$45,Inputs!$B$46,Inputs!$B$47))</f>
        <v>1.25</v>
      </c>
      <c r="Z8" s="33" t="n">
        <f aca="false">IF(Z$3&lt;=Inputs!$B$44,0,CHOOSE(Z$4,Inputs!$B$45,Inputs!$B$46,Inputs!$B$47))</f>
        <v>1.25</v>
      </c>
      <c r="AA8" s="33" t="n">
        <f aca="false">IF(AA$3&lt;=Inputs!$B$44,0,CHOOSE(AA$4,Inputs!$B$45,Inputs!$B$46,Inputs!$B$47))</f>
        <v>1.5</v>
      </c>
      <c r="AB8" s="33" t="n">
        <f aca="false">IF(AB$3&lt;=Inputs!$B$44,0,CHOOSE(AB$4,Inputs!$B$45,Inputs!$B$46,Inputs!$B$47))</f>
        <v>1.5</v>
      </c>
      <c r="AC8" s="33" t="n">
        <f aca="false">IF(AC$3&lt;=Inputs!$B$44,0,CHOOSE(AC$4,Inputs!$B$45,Inputs!$B$46,Inputs!$B$47))</f>
        <v>1.5</v>
      </c>
      <c r="AD8" s="33" t="n">
        <f aca="false">IF(AD$3&lt;=Inputs!$B$44,0,CHOOSE(AD$4,Inputs!$B$45,Inputs!$B$46,Inputs!$B$47))</f>
        <v>1.5</v>
      </c>
      <c r="AE8" s="33" t="n">
        <f aca="false">IF(AE$3&lt;=Inputs!$B$44,0,CHOOSE(AE$4,Inputs!$B$45,Inputs!$B$46,Inputs!$B$47))</f>
        <v>1.5</v>
      </c>
      <c r="AF8" s="33" t="n">
        <f aca="false">IF(AF$3&lt;=Inputs!$B$44,0,CHOOSE(AF$4,Inputs!$B$45,Inputs!$B$46,Inputs!$B$47))</f>
        <v>1.5</v>
      </c>
      <c r="AG8" s="33" t="n">
        <f aca="false">IF(AG$3&lt;=Inputs!$B$44,0,CHOOSE(AG$4,Inputs!$B$45,Inputs!$B$46,Inputs!$B$47))</f>
        <v>1.5</v>
      </c>
      <c r="AH8" s="33" t="n">
        <f aca="false">IF(AH$3&lt;=Inputs!$B$44,0,CHOOSE(AH$4,Inputs!$B$45,Inputs!$B$46,Inputs!$B$47))</f>
        <v>1.5</v>
      </c>
      <c r="AI8" s="33" t="n">
        <f aca="false">IF(AI$3&lt;=Inputs!$B$44,0,CHOOSE(AI$4,Inputs!$B$45,Inputs!$B$46,Inputs!$B$47))</f>
        <v>1.5</v>
      </c>
      <c r="AJ8" s="33" t="n">
        <f aca="false">IF(AJ$3&lt;=Inputs!$B$44,0,CHOOSE(AJ$4,Inputs!$B$45,Inputs!$B$46,Inputs!$B$47))</f>
        <v>1.5</v>
      </c>
      <c r="AK8" s="33" t="n">
        <f aca="false">IF(AK$3&lt;=Inputs!$B$44,0,CHOOSE(AK$4,Inputs!$B$45,Inputs!$B$46,Inputs!$B$47))</f>
        <v>1.5</v>
      </c>
      <c r="AL8" s="33" t="n">
        <f aca="false">IF(AL$3&lt;=Inputs!$B$44,0,CHOOSE(AL$4,Inputs!$B$45,Inputs!$B$46,Inputs!$B$47))</f>
        <v>1.5</v>
      </c>
      <c r="AN8" s="46" t="n">
        <f aca="false">SUMIF($C$4:$AL$4,1,$C8:$AL8)</f>
        <v>6</v>
      </c>
      <c r="AO8" s="46" t="n">
        <f aca="false">SUMIF($C$4:$AL$4,2,$C8:$AL8)</f>
        <v>15</v>
      </c>
      <c r="AP8" s="46" t="n">
        <f aca="false">SUMIF($C$4:$AL$4,3,$C8:$AL8)</f>
        <v>18</v>
      </c>
    </row>
    <row r="9" customFormat="false" ht="15" hidden="false" customHeight="false" outlineLevel="0" collapsed="false">
      <c r="A9" s="11" t="s">
        <v>312</v>
      </c>
      <c r="B9" s="14" t="s">
        <v>103</v>
      </c>
      <c r="C9" s="33" t="n">
        <f aca="false">IF(C$3&lt;Inputs!$B$44,0,IF(C$3=Inputs!$B$44,Inputs!$B$43,0*(1-Inputs!$B$48)+C8))</f>
        <v>0</v>
      </c>
      <c r="D9" s="33" t="n">
        <f aca="false">IF(D$3&lt;Inputs!$B$44,0,IF(D$3=Inputs!$B$44,Inputs!$B$43,C9*(1-Inputs!$B$48)+D8))</f>
        <v>0</v>
      </c>
      <c r="E9" s="33" t="n">
        <f aca="false">IF(E$3&lt;Inputs!$B$44,0,IF(E$3=Inputs!$B$44,Inputs!$B$43,D9*(1-Inputs!$B$48)+E8))</f>
        <v>0</v>
      </c>
      <c r="F9" s="33" t="n">
        <f aca="false">IF(F$3&lt;Inputs!$B$44,0,IF(F$3=Inputs!$B$44,Inputs!$B$43,E9*(1-Inputs!$B$48)+F8))</f>
        <v>0</v>
      </c>
      <c r="G9" s="33" t="n">
        <f aca="false">IF(G$3&lt;Inputs!$B$44,0,IF(G$3=Inputs!$B$44,Inputs!$B$43,F9*(1-Inputs!$B$48)+G8))</f>
        <v>0</v>
      </c>
      <c r="H9" s="33" t="n">
        <f aca="false">IF(H$3&lt;Inputs!$B$44,0,IF(H$3=Inputs!$B$44,Inputs!$B$43,G9*(1-Inputs!$B$48)+H8))</f>
        <v>2</v>
      </c>
      <c r="I9" s="33" t="n">
        <f aca="false">IF(I$3&lt;Inputs!$B$44,0,IF(I$3=Inputs!$B$44,Inputs!$B$43,H9*(1-Inputs!$B$48)+I8))</f>
        <v>2.98</v>
      </c>
      <c r="J9" s="33" t="n">
        <f aca="false">IF(J$3&lt;Inputs!$B$44,0,IF(J$3=Inputs!$B$44,Inputs!$B$43,I9*(1-Inputs!$B$48)+J8))</f>
        <v>3.9502</v>
      </c>
      <c r="K9" s="33" t="n">
        <f aca="false">IF(K$3&lt;Inputs!$B$44,0,IF(K$3=Inputs!$B$44,Inputs!$B$43,J9*(1-Inputs!$B$48)+K8))</f>
        <v>4.910698</v>
      </c>
      <c r="L9" s="33" t="n">
        <f aca="false">IF(L$3&lt;Inputs!$B$44,0,IF(L$3=Inputs!$B$44,Inputs!$B$43,K9*(1-Inputs!$B$48)+L8))</f>
        <v>5.86159102</v>
      </c>
      <c r="M9" s="33" t="n">
        <f aca="false">IF(M$3&lt;Inputs!$B$44,0,IF(M$3=Inputs!$B$44,Inputs!$B$43,L9*(1-Inputs!$B$48)+M8))</f>
        <v>6.8029751098</v>
      </c>
      <c r="N9" s="33" t="n">
        <f aca="false">IF(N$3&lt;Inputs!$B$44,0,IF(N$3=Inputs!$B$44,Inputs!$B$43,M9*(1-Inputs!$B$48)+N8))</f>
        <v>7.734945358702</v>
      </c>
      <c r="O9" s="33" t="n">
        <f aca="false">IF(O$3&lt;Inputs!$B$44,0,IF(O$3=Inputs!$B$44,Inputs!$B$43,N9*(1-Inputs!$B$48)+O8))</f>
        <v>8.90759590511498</v>
      </c>
      <c r="P9" s="33" t="n">
        <f aca="false">IF(P$3&lt;Inputs!$B$44,0,IF(P$3=Inputs!$B$44,Inputs!$B$43,O9*(1-Inputs!$B$48)+P8))</f>
        <v>10.0685199460638</v>
      </c>
      <c r="Q9" s="33" t="n">
        <f aca="false">IF(Q$3&lt;Inputs!$B$44,0,IF(Q$3=Inputs!$B$44,Inputs!$B$43,P9*(1-Inputs!$B$48)+Q8))</f>
        <v>11.2178347466032</v>
      </c>
      <c r="R9" s="33" t="n">
        <f aca="false">IF(R$3&lt;Inputs!$B$44,0,IF(R$3=Inputs!$B$44,Inputs!$B$43,Q9*(1-Inputs!$B$48)+R8))</f>
        <v>12.3556563991372</v>
      </c>
      <c r="S9" s="33" t="n">
        <f aca="false">IF(S$3&lt;Inputs!$B$44,0,IF(S$3=Inputs!$B$44,Inputs!$B$43,R9*(1-Inputs!$B$48)+S8))</f>
        <v>13.4820998351458</v>
      </c>
      <c r="T9" s="33" t="n">
        <f aca="false">IF(T$3&lt;Inputs!$B$44,0,IF(T$3=Inputs!$B$44,Inputs!$B$43,S9*(1-Inputs!$B$48)+T8))</f>
        <v>14.5972788367943</v>
      </c>
      <c r="U9" s="33" t="n">
        <f aca="false">IF(U$3&lt;Inputs!$B$44,0,IF(U$3=Inputs!$B$44,Inputs!$B$43,T9*(1-Inputs!$B$48)+U8))</f>
        <v>15.7013060484264</v>
      </c>
      <c r="V9" s="33" t="n">
        <f aca="false">IF(V$3&lt;Inputs!$B$44,0,IF(V$3=Inputs!$B$44,Inputs!$B$43,U9*(1-Inputs!$B$48)+V8))</f>
        <v>16.7942929879421</v>
      </c>
      <c r="W9" s="33" t="n">
        <f aca="false">IF(W$3&lt;Inputs!$B$44,0,IF(W$3=Inputs!$B$44,Inputs!$B$43,V9*(1-Inputs!$B$48)+W8))</f>
        <v>17.8763500580627</v>
      </c>
      <c r="X9" s="33" t="n">
        <f aca="false">IF(X$3&lt;Inputs!$B$44,0,IF(X$3=Inputs!$B$44,Inputs!$B$43,W9*(1-Inputs!$B$48)+X8))</f>
        <v>18.9475865574821</v>
      </c>
      <c r="Y9" s="33" t="n">
        <f aca="false">IF(Y$3&lt;Inputs!$B$44,0,IF(Y$3=Inputs!$B$44,Inputs!$B$43,X9*(1-Inputs!$B$48)+Y8))</f>
        <v>20.0081106919073</v>
      </c>
      <c r="Z9" s="33" t="n">
        <f aca="false">IF(Z$3&lt;Inputs!$B$44,0,IF(Z$3=Inputs!$B$44,Inputs!$B$43,Y9*(1-Inputs!$B$48)+Z8))</f>
        <v>21.0580295849882</v>
      </c>
      <c r="AA9" s="33" t="n">
        <f aca="false">IF(AA$3&lt;Inputs!$B$44,0,IF(AA$3=Inputs!$B$44,Inputs!$B$43,Z9*(1-Inputs!$B$48)+AA8))</f>
        <v>22.3474492891383</v>
      </c>
      <c r="AB9" s="33" t="n">
        <f aca="false">IF(AB$3&lt;Inputs!$B$44,0,IF(AB$3=Inputs!$B$44,Inputs!$B$43,AA9*(1-Inputs!$B$48)+AB8))</f>
        <v>23.6239747962469</v>
      </c>
      <c r="AC9" s="33" t="n">
        <f aca="false">IF(AC$3&lt;Inputs!$B$44,0,IF(AC$3=Inputs!$B$44,Inputs!$B$43,AB9*(1-Inputs!$B$48)+AC8))</f>
        <v>24.8877350482844</v>
      </c>
      <c r="AD9" s="33" t="n">
        <f aca="false">IF(AD$3&lt;Inputs!$B$44,0,IF(AD$3=Inputs!$B$44,Inputs!$B$43,AC9*(1-Inputs!$B$48)+AD8))</f>
        <v>26.1388576978016</v>
      </c>
      <c r="AE9" s="33" t="n">
        <f aca="false">IF(AE$3&lt;Inputs!$B$44,0,IF(AE$3=Inputs!$B$44,Inputs!$B$43,AD9*(1-Inputs!$B$48)+AE8))</f>
        <v>27.3774691208236</v>
      </c>
      <c r="AF9" s="33" t="n">
        <f aca="false">IF(AF$3&lt;Inputs!$B$44,0,IF(AF$3=Inputs!$B$44,Inputs!$B$43,AE9*(1-Inputs!$B$48)+AF8))</f>
        <v>28.6036944296154</v>
      </c>
      <c r="AG9" s="33" t="n">
        <f aca="false">IF(AG$3&lt;Inputs!$B$44,0,IF(AG$3=Inputs!$B$44,Inputs!$B$43,AF9*(1-Inputs!$B$48)+AG8))</f>
        <v>29.8176574853192</v>
      </c>
      <c r="AH9" s="33" t="n">
        <f aca="false">IF(AH$3&lt;Inputs!$B$44,0,IF(AH$3=Inputs!$B$44,Inputs!$B$43,AG9*(1-Inputs!$B$48)+AH8))</f>
        <v>31.019480910466</v>
      </c>
      <c r="AI9" s="33" t="n">
        <f aca="false">IF(AI$3&lt;Inputs!$B$44,0,IF(AI$3=Inputs!$B$44,Inputs!$B$43,AH9*(1-Inputs!$B$48)+AI8))</f>
        <v>32.2092861013613</v>
      </c>
      <c r="AJ9" s="33" t="n">
        <f aca="false">IF(AJ$3&lt;Inputs!$B$44,0,IF(AJ$3=Inputs!$B$44,Inputs!$B$43,AI9*(1-Inputs!$B$48)+AJ8))</f>
        <v>33.3871932403477</v>
      </c>
      <c r="AK9" s="33" t="n">
        <f aca="false">IF(AK$3&lt;Inputs!$B$44,0,IF(AK$3=Inputs!$B$44,Inputs!$B$43,AJ9*(1-Inputs!$B$48)+AK8))</f>
        <v>34.5533213079443</v>
      </c>
      <c r="AL9" s="33" t="n">
        <f aca="false">IF(AL$3&lt;Inputs!$B$44,0,IF(AL$3=Inputs!$B$44,Inputs!$B$43,AK9*(1-Inputs!$B$48)+AL8))</f>
        <v>35.7077880948648</v>
      </c>
      <c r="AN9" s="46" t="n">
        <f aca="false">INDEX($C9:$AL9,1,12)</f>
        <v>7.734945358702</v>
      </c>
      <c r="AO9" s="46" t="n">
        <f aca="false">INDEX($C9:$AL9,1,24)</f>
        <v>21.0580295849882</v>
      </c>
      <c r="AP9" s="46" t="n">
        <f aca="false">INDEX($C9:$AL9,1,36)</f>
        <v>35.7077880948648</v>
      </c>
    </row>
    <row r="10" customFormat="false" ht="15" hidden="false" customHeight="false" outlineLevel="0" collapsed="false">
      <c r="A10" s="11" t="s">
        <v>313</v>
      </c>
      <c r="B10" s="14" t="s">
        <v>165</v>
      </c>
      <c r="C10" s="40" t="n">
        <f aca="false">C9*Inputs!$B$35</f>
        <v>0</v>
      </c>
      <c r="D10" s="40" t="n">
        <f aca="false">D9*Inputs!$B$35</f>
        <v>0</v>
      </c>
      <c r="E10" s="40" t="n">
        <f aca="false">E9*Inputs!$B$35</f>
        <v>0</v>
      </c>
      <c r="F10" s="40" t="n">
        <f aca="false">F9*Inputs!$B$35</f>
        <v>0</v>
      </c>
      <c r="G10" s="40" t="n">
        <f aca="false">G9*Inputs!$B$35</f>
        <v>0</v>
      </c>
      <c r="H10" s="40" t="n">
        <f aca="false">H9*Inputs!$B$35</f>
        <v>7000</v>
      </c>
      <c r="I10" s="40" t="n">
        <f aca="false">I9*Inputs!$B$35</f>
        <v>10430</v>
      </c>
      <c r="J10" s="40" t="n">
        <f aca="false">J9*Inputs!$B$35</f>
        <v>13825.7</v>
      </c>
      <c r="K10" s="40" t="n">
        <f aca="false">K9*Inputs!$B$35</f>
        <v>17187.443</v>
      </c>
      <c r="L10" s="40" t="n">
        <f aca="false">L9*Inputs!$B$35</f>
        <v>20515.56857</v>
      </c>
      <c r="M10" s="40" t="n">
        <f aca="false">M9*Inputs!$B$35</f>
        <v>23810.4128843</v>
      </c>
      <c r="N10" s="40" t="n">
        <f aca="false">N9*Inputs!$B$35</f>
        <v>27072.308755457</v>
      </c>
      <c r="O10" s="40" t="n">
        <f aca="false">O9*Inputs!$B$35</f>
        <v>31176.5856679024</v>
      </c>
      <c r="P10" s="40" t="n">
        <f aca="false">P9*Inputs!$B$35</f>
        <v>35239.8198112234</v>
      </c>
      <c r="Q10" s="40" t="n">
        <f aca="false">Q9*Inputs!$B$35</f>
        <v>39262.4216131112</v>
      </c>
      <c r="R10" s="40" t="n">
        <f aca="false">R9*Inputs!$B$35</f>
        <v>43244.7973969801</v>
      </c>
      <c r="S10" s="40" t="n">
        <f aca="false">S9*Inputs!$B$35</f>
        <v>47187.3494230103</v>
      </c>
      <c r="T10" s="40" t="n">
        <f aca="false">T9*Inputs!$B$35</f>
        <v>51090.4759287802</v>
      </c>
      <c r="U10" s="40" t="n">
        <f aca="false">U9*Inputs!$B$35</f>
        <v>54954.5711694924</v>
      </c>
      <c r="V10" s="40" t="n">
        <f aca="false">V9*Inputs!$B$35</f>
        <v>58780.0254577974</v>
      </c>
      <c r="W10" s="40" t="n">
        <f aca="false">W9*Inputs!$B$35</f>
        <v>62567.2252032195</v>
      </c>
      <c r="X10" s="40" t="n">
        <f aca="false">X9*Inputs!$B$35</f>
        <v>66316.5529511873</v>
      </c>
      <c r="Y10" s="40" t="n">
        <f aca="false">Y9*Inputs!$B$35</f>
        <v>70028.3874216754</v>
      </c>
      <c r="Z10" s="40" t="n">
        <f aca="false">Z9*Inputs!$B$35</f>
        <v>73703.1035474586</v>
      </c>
      <c r="AA10" s="40" t="n">
        <f aca="false">AA9*Inputs!$B$35</f>
        <v>78216.0725119841</v>
      </c>
      <c r="AB10" s="40" t="n">
        <f aca="false">AB9*Inputs!$B$35</f>
        <v>82683.9117868642</v>
      </c>
      <c r="AC10" s="40" t="n">
        <f aca="false">AC9*Inputs!$B$35</f>
        <v>87107.0726689956</v>
      </c>
      <c r="AD10" s="40" t="n">
        <f aca="false">AD9*Inputs!$B$35</f>
        <v>91486.0019423056</v>
      </c>
      <c r="AE10" s="40" t="n">
        <f aca="false">AE9*Inputs!$B$35</f>
        <v>95821.1419228826</v>
      </c>
      <c r="AF10" s="40" t="n">
        <f aca="false">AF9*Inputs!$B$35</f>
        <v>100112.930503654</v>
      </c>
      <c r="AG10" s="40" t="n">
        <f aca="false">AG9*Inputs!$B$35</f>
        <v>104361.801198617</v>
      </c>
      <c r="AH10" s="40" t="n">
        <f aca="false">AH9*Inputs!$B$35</f>
        <v>108568.183186631</v>
      </c>
      <c r="AI10" s="40" t="n">
        <f aca="false">AI9*Inputs!$B$35</f>
        <v>112732.501354765</v>
      </c>
      <c r="AJ10" s="40" t="n">
        <f aca="false">AJ9*Inputs!$B$35</f>
        <v>116855.176341217</v>
      </c>
      <c r="AK10" s="40" t="n">
        <f aca="false">AK9*Inputs!$B$35</f>
        <v>120936.624577805</v>
      </c>
      <c r="AL10" s="40" t="n">
        <f aca="false">AL9*Inputs!$B$35</f>
        <v>124977.258332027</v>
      </c>
      <c r="AN10" s="47" t="n">
        <f aca="false">SUMIF($C$4:$AL$4,1,$C10:$AL10)</f>
        <v>119841.433209757</v>
      </c>
      <c r="AO10" s="47" t="n">
        <f aca="false">SUMIF($C$4:$AL$4,2,$C10:$AL10)</f>
        <v>633551.315591838</v>
      </c>
      <c r="AP10" s="47" t="n">
        <f aca="false">SUMIF($C$4:$AL$4,3,$C10:$AL10)</f>
        <v>1223858.67632775</v>
      </c>
    </row>
    <row r="12" customFormat="false" ht="15" hidden="false" customHeight="false" outlineLevel="0" collapsed="false">
      <c r="A12" s="9" t="s">
        <v>314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customFormat="false" ht="15" hidden="false" customHeight="false" outlineLevel="0" collapsed="false">
      <c r="A13" s="11" t="s">
        <v>216</v>
      </c>
      <c r="B13" s="14" t="s">
        <v>315</v>
      </c>
      <c r="C13" s="37" t="n">
        <f aca="false">COUNTIF(Inputs!$B$51:$B$55,"&lt;="&amp;C$3)</f>
        <v>0</v>
      </c>
      <c r="D13" s="37" t="n">
        <f aca="false">COUNTIF(Inputs!$B$51:$B$55,"&lt;="&amp;D$3)</f>
        <v>0</v>
      </c>
      <c r="E13" s="37" t="n">
        <f aca="false">COUNTIF(Inputs!$B$51:$B$55,"&lt;="&amp;E$3)</f>
        <v>0</v>
      </c>
      <c r="F13" s="37" t="n">
        <f aca="false">COUNTIF(Inputs!$B$51:$B$55,"&lt;="&amp;F$3)</f>
        <v>0</v>
      </c>
      <c r="G13" s="37" t="n">
        <f aca="false">COUNTIF(Inputs!$B$51:$B$55,"&lt;="&amp;G$3)</f>
        <v>0</v>
      </c>
      <c r="H13" s="37" t="n">
        <f aca="false">COUNTIF(Inputs!$B$51:$B$55,"&lt;="&amp;H$3)</f>
        <v>0</v>
      </c>
      <c r="I13" s="37" t="n">
        <f aca="false">COUNTIF(Inputs!$B$51:$B$55,"&lt;="&amp;I$3)</f>
        <v>0</v>
      </c>
      <c r="J13" s="37" t="n">
        <f aca="false">COUNTIF(Inputs!$B$51:$B$55,"&lt;="&amp;J$3)</f>
        <v>0</v>
      </c>
      <c r="K13" s="37" t="n">
        <f aca="false">COUNTIF(Inputs!$B$51:$B$55,"&lt;="&amp;K$3)</f>
        <v>0</v>
      </c>
      <c r="L13" s="37" t="n">
        <f aca="false">COUNTIF(Inputs!$B$51:$B$55,"&lt;="&amp;L$3)</f>
        <v>0</v>
      </c>
      <c r="M13" s="37" t="n">
        <f aca="false">COUNTIF(Inputs!$B$51:$B$55,"&lt;="&amp;M$3)</f>
        <v>0</v>
      </c>
      <c r="N13" s="37" t="n">
        <f aca="false">COUNTIF(Inputs!$B$51:$B$55,"&lt;="&amp;N$3)</f>
        <v>1</v>
      </c>
      <c r="O13" s="37" t="n">
        <f aca="false">COUNTIF(Inputs!$B$51:$B$55,"&lt;="&amp;O$3)</f>
        <v>1</v>
      </c>
      <c r="P13" s="37" t="n">
        <f aca="false">COUNTIF(Inputs!$B$51:$B$55,"&lt;="&amp;P$3)</f>
        <v>1</v>
      </c>
      <c r="Q13" s="37" t="n">
        <f aca="false">COUNTIF(Inputs!$B$51:$B$55,"&lt;="&amp;Q$3)</f>
        <v>1</v>
      </c>
      <c r="R13" s="37" t="n">
        <f aca="false">COUNTIF(Inputs!$B$51:$B$55,"&lt;="&amp;R$3)</f>
        <v>1</v>
      </c>
      <c r="S13" s="37" t="n">
        <f aca="false">COUNTIF(Inputs!$B$51:$B$55,"&lt;="&amp;S$3)</f>
        <v>1</v>
      </c>
      <c r="T13" s="37" t="n">
        <f aca="false">COUNTIF(Inputs!$B$51:$B$55,"&lt;="&amp;T$3)</f>
        <v>1</v>
      </c>
      <c r="U13" s="37" t="n">
        <f aca="false">COUNTIF(Inputs!$B$51:$B$55,"&lt;="&amp;U$3)</f>
        <v>1</v>
      </c>
      <c r="V13" s="37" t="n">
        <f aca="false">COUNTIF(Inputs!$B$51:$B$55,"&lt;="&amp;V$3)</f>
        <v>1</v>
      </c>
      <c r="W13" s="37" t="n">
        <f aca="false">COUNTIF(Inputs!$B$51:$B$55,"&lt;="&amp;W$3)</f>
        <v>2</v>
      </c>
      <c r="X13" s="37" t="n">
        <f aca="false">COUNTIF(Inputs!$B$51:$B$55,"&lt;="&amp;X$3)</f>
        <v>2</v>
      </c>
      <c r="Y13" s="37" t="n">
        <f aca="false">COUNTIF(Inputs!$B$51:$B$55,"&lt;="&amp;Y$3)</f>
        <v>2</v>
      </c>
      <c r="Z13" s="37" t="n">
        <f aca="false">COUNTIF(Inputs!$B$51:$B$55,"&lt;="&amp;Z$3)</f>
        <v>2</v>
      </c>
      <c r="AA13" s="37" t="n">
        <f aca="false">COUNTIF(Inputs!$B$51:$B$55,"&lt;="&amp;AA$3)</f>
        <v>2</v>
      </c>
      <c r="AB13" s="37" t="n">
        <f aca="false">COUNTIF(Inputs!$B$51:$B$55,"&lt;="&amp;AB$3)</f>
        <v>2</v>
      </c>
      <c r="AC13" s="37" t="n">
        <f aca="false">COUNTIF(Inputs!$B$51:$B$55,"&lt;="&amp;AC$3)</f>
        <v>3</v>
      </c>
      <c r="AD13" s="37" t="n">
        <f aca="false">COUNTIF(Inputs!$B$51:$B$55,"&lt;="&amp;AD$3)</f>
        <v>3</v>
      </c>
      <c r="AE13" s="37" t="n">
        <f aca="false">COUNTIF(Inputs!$B$51:$B$55,"&lt;="&amp;AE$3)</f>
        <v>3</v>
      </c>
      <c r="AF13" s="37" t="n">
        <f aca="false">COUNTIF(Inputs!$B$51:$B$55,"&lt;="&amp;AF$3)</f>
        <v>3</v>
      </c>
      <c r="AG13" s="37" t="n">
        <f aca="false">COUNTIF(Inputs!$B$51:$B$55,"&lt;="&amp;AG$3)</f>
        <v>3</v>
      </c>
      <c r="AH13" s="37" t="n">
        <f aca="false">COUNTIF(Inputs!$B$51:$B$55,"&lt;="&amp;AH$3)</f>
        <v>3</v>
      </c>
      <c r="AI13" s="37" t="n">
        <f aca="false">COUNTIF(Inputs!$B$51:$B$55,"&lt;="&amp;AI$3)</f>
        <v>4</v>
      </c>
      <c r="AJ13" s="37" t="n">
        <f aca="false">COUNTIF(Inputs!$B$51:$B$55,"&lt;="&amp;AJ$3)</f>
        <v>4</v>
      </c>
      <c r="AK13" s="37" t="n">
        <f aca="false">COUNTIF(Inputs!$B$51:$B$55,"&lt;="&amp;AK$3)</f>
        <v>4</v>
      </c>
      <c r="AL13" s="37" t="n">
        <f aca="false">COUNTIF(Inputs!$B$51:$B$55,"&lt;="&amp;AL$3)</f>
        <v>4</v>
      </c>
      <c r="AN13" s="48" t="n">
        <f aca="false">INDEX($C13:$AL13,1,12)</f>
        <v>1</v>
      </c>
      <c r="AO13" s="48" t="n">
        <f aca="false">INDEX($C13:$AL13,1,24)</f>
        <v>2</v>
      </c>
      <c r="AP13" s="48" t="n">
        <f aca="false">INDEX($C13:$AL13,1,36)</f>
        <v>4</v>
      </c>
    </row>
    <row r="14" customFormat="false" ht="15" hidden="false" customHeight="false" outlineLevel="0" collapsed="false">
      <c r="A14" s="11" t="s">
        <v>316</v>
      </c>
      <c r="B14" s="14" t="s">
        <v>317</v>
      </c>
      <c r="C14" s="33" t="n">
        <f aca="false">C13*Inputs!$B$56</f>
        <v>0</v>
      </c>
      <c r="D14" s="33" t="n">
        <f aca="false">D13*Inputs!$B$56</f>
        <v>0</v>
      </c>
      <c r="E14" s="33" t="n">
        <f aca="false">E13*Inputs!$B$56</f>
        <v>0</v>
      </c>
      <c r="F14" s="33" t="n">
        <f aca="false">F13*Inputs!$B$56</f>
        <v>0</v>
      </c>
      <c r="G14" s="33" t="n">
        <f aca="false">G13*Inputs!$B$56</f>
        <v>0</v>
      </c>
      <c r="H14" s="33" t="n">
        <f aca="false">H13*Inputs!$B$56</f>
        <v>0</v>
      </c>
      <c r="I14" s="33" t="n">
        <f aca="false">I13*Inputs!$B$56</f>
        <v>0</v>
      </c>
      <c r="J14" s="33" t="n">
        <f aca="false">J13*Inputs!$B$56</f>
        <v>0</v>
      </c>
      <c r="K14" s="33" t="n">
        <f aca="false">K13*Inputs!$B$56</f>
        <v>0</v>
      </c>
      <c r="L14" s="33" t="n">
        <f aca="false">L13*Inputs!$B$56</f>
        <v>0</v>
      </c>
      <c r="M14" s="33" t="n">
        <f aca="false">M13*Inputs!$B$56</f>
        <v>0</v>
      </c>
      <c r="N14" s="33" t="n">
        <f aca="false">N13*Inputs!$B$56</f>
        <v>0.75</v>
      </c>
      <c r="O14" s="33" t="n">
        <f aca="false">O13*Inputs!$B$56</f>
        <v>0.75</v>
      </c>
      <c r="P14" s="33" t="n">
        <f aca="false">P13*Inputs!$B$56</f>
        <v>0.75</v>
      </c>
      <c r="Q14" s="33" t="n">
        <f aca="false">Q13*Inputs!$B$56</f>
        <v>0.75</v>
      </c>
      <c r="R14" s="33" t="n">
        <f aca="false">R13*Inputs!$B$56</f>
        <v>0.75</v>
      </c>
      <c r="S14" s="33" t="n">
        <f aca="false">S13*Inputs!$B$56</f>
        <v>0.75</v>
      </c>
      <c r="T14" s="33" t="n">
        <f aca="false">T13*Inputs!$B$56</f>
        <v>0.75</v>
      </c>
      <c r="U14" s="33" t="n">
        <f aca="false">U13*Inputs!$B$56</f>
        <v>0.75</v>
      </c>
      <c r="V14" s="33" t="n">
        <f aca="false">V13*Inputs!$B$56</f>
        <v>0.75</v>
      </c>
      <c r="W14" s="33" t="n">
        <f aca="false">W13*Inputs!$B$56</f>
        <v>1.5</v>
      </c>
      <c r="X14" s="33" t="n">
        <f aca="false">X13*Inputs!$B$56</f>
        <v>1.5</v>
      </c>
      <c r="Y14" s="33" t="n">
        <f aca="false">Y13*Inputs!$B$56</f>
        <v>1.5</v>
      </c>
      <c r="Z14" s="33" t="n">
        <f aca="false">Z13*Inputs!$B$56</f>
        <v>1.5</v>
      </c>
      <c r="AA14" s="33" t="n">
        <f aca="false">AA13*Inputs!$B$56</f>
        <v>1.5</v>
      </c>
      <c r="AB14" s="33" t="n">
        <f aca="false">AB13*Inputs!$B$56</f>
        <v>1.5</v>
      </c>
      <c r="AC14" s="33" t="n">
        <f aca="false">AC13*Inputs!$B$56</f>
        <v>2.25</v>
      </c>
      <c r="AD14" s="33" t="n">
        <f aca="false">AD13*Inputs!$B$56</f>
        <v>2.25</v>
      </c>
      <c r="AE14" s="33" t="n">
        <f aca="false">AE13*Inputs!$B$56</f>
        <v>2.25</v>
      </c>
      <c r="AF14" s="33" t="n">
        <f aca="false">AF13*Inputs!$B$56</f>
        <v>2.25</v>
      </c>
      <c r="AG14" s="33" t="n">
        <f aca="false">AG13*Inputs!$B$56</f>
        <v>2.25</v>
      </c>
      <c r="AH14" s="33" t="n">
        <f aca="false">AH13*Inputs!$B$56</f>
        <v>2.25</v>
      </c>
      <c r="AI14" s="33" t="n">
        <f aca="false">AI13*Inputs!$B$56</f>
        <v>3</v>
      </c>
      <c r="AJ14" s="33" t="n">
        <f aca="false">AJ13*Inputs!$B$56</f>
        <v>3</v>
      </c>
      <c r="AK14" s="33" t="n">
        <f aca="false">AK13*Inputs!$B$56</f>
        <v>3</v>
      </c>
      <c r="AL14" s="33" t="n">
        <f aca="false">AL13*Inputs!$B$56</f>
        <v>3</v>
      </c>
      <c r="AN14" s="46" t="n">
        <f aca="false">SUMIF($C$4:$AL$4,1,$C14:$AL14)</f>
        <v>0.75</v>
      </c>
      <c r="AO14" s="46" t="n">
        <f aca="false">SUMIF($C$4:$AL$4,2,$C14:$AL14)</f>
        <v>12</v>
      </c>
      <c r="AP14" s="46" t="n">
        <f aca="false">SUMIF($C$4:$AL$4,3,$C14:$AL14)</f>
        <v>28.5</v>
      </c>
    </row>
    <row r="15" customFormat="false" ht="15" hidden="false" customHeight="false" outlineLevel="0" collapsed="false">
      <c r="A15" s="11" t="s">
        <v>318</v>
      </c>
      <c r="B15" s="14" t="s">
        <v>317</v>
      </c>
      <c r="C15" s="33" t="n">
        <f aca="false">IF(C$3&gt;Inputs!$B$57,INDEX($C$14:$AL$14,1,C$3-Inputs!$B$57),0)</f>
        <v>0</v>
      </c>
      <c r="D15" s="33" t="n">
        <f aca="false">IF(D$3&gt;Inputs!$B$57,INDEX($C$14:$AL$14,1,D$3-Inputs!$B$57),0)</f>
        <v>0</v>
      </c>
      <c r="E15" s="33" t="n">
        <f aca="false">IF(E$3&gt;Inputs!$B$57,INDEX($C$14:$AL$14,1,E$3-Inputs!$B$57),0)</f>
        <v>0</v>
      </c>
      <c r="F15" s="33" t="n">
        <f aca="false">IF(F$3&gt;Inputs!$B$57,INDEX($C$14:$AL$14,1,F$3-Inputs!$B$57),0)</f>
        <v>0</v>
      </c>
      <c r="G15" s="33" t="n">
        <f aca="false">IF(G$3&gt;Inputs!$B$57,INDEX($C$14:$AL$14,1,G$3-Inputs!$B$57),0)</f>
        <v>0</v>
      </c>
      <c r="H15" s="33" t="n">
        <f aca="false">IF(H$3&gt;Inputs!$B$57,INDEX($C$14:$AL$14,1,H$3-Inputs!$B$57),0)</f>
        <v>0</v>
      </c>
      <c r="I15" s="33" t="n">
        <f aca="false">IF(I$3&gt;Inputs!$B$57,INDEX($C$14:$AL$14,1,I$3-Inputs!$B$57),0)</f>
        <v>0</v>
      </c>
      <c r="J15" s="33" t="n">
        <f aca="false">IF(J$3&gt;Inputs!$B$57,INDEX($C$14:$AL$14,1,J$3-Inputs!$B$57),0)</f>
        <v>0</v>
      </c>
      <c r="K15" s="33" t="n">
        <f aca="false">IF(K$3&gt;Inputs!$B$57,INDEX($C$14:$AL$14,1,K$3-Inputs!$B$57),0)</f>
        <v>0</v>
      </c>
      <c r="L15" s="33" t="n">
        <f aca="false">IF(L$3&gt;Inputs!$B$57,INDEX($C$14:$AL$14,1,L$3-Inputs!$B$57),0)</f>
        <v>0</v>
      </c>
      <c r="M15" s="33" t="n">
        <f aca="false">IF(M$3&gt;Inputs!$B$57,INDEX($C$14:$AL$14,1,M$3-Inputs!$B$57),0)</f>
        <v>0</v>
      </c>
      <c r="N15" s="33" t="n">
        <f aca="false">IF(N$3&gt;Inputs!$B$57,INDEX($C$14:$AL$14,1,N$3-Inputs!$B$57),0)</f>
        <v>0</v>
      </c>
      <c r="O15" s="33" t="n">
        <f aca="false">IF(O$3&gt;Inputs!$B$57,INDEX($C$14:$AL$14,1,O$3-Inputs!$B$57),0)</f>
        <v>0</v>
      </c>
      <c r="P15" s="33" t="n">
        <f aca="false">IF(P$3&gt;Inputs!$B$57,INDEX($C$14:$AL$14,1,P$3-Inputs!$B$57),0)</f>
        <v>0</v>
      </c>
      <c r="Q15" s="33" t="n">
        <f aca="false">IF(Q$3&gt;Inputs!$B$57,INDEX($C$14:$AL$14,1,Q$3-Inputs!$B$57),0)</f>
        <v>0</v>
      </c>
      <c r="R15" s="33" t="n">
        <f aca="false">IF(R$3&gt;Inputs!$B$57,INDEX($C$14:$AL$14,1,R$3-Inputs!$B$57),0)</f>
        <v>0</v>
      </c>
      <c r="S15" s="33" t="n">
        <f aca="false">IF(S$3&gt;Inputs!$B$57,INDEX($C$14:$AL$14,1,S$3-Inputs!$B$57),0)</f>
        <v>0</v>
      </c>
      <c r="T15" s="33" t="n">
        <f aca="false">IF(T$3&gt;Inputs!$B$57,INDEX($C$14:$AL$14,1,T$3-Inputs!$B$57),0)</f>
        <v>0</v>
      </c>
      <c r="U15" s="33" t="n">
        <f aca="false">IF(U$3&gt;Inputs!$B$57,INDEX($C$14:$AL$14,1,U$3-Inputs!$B$57),0)</f>
        <v>0</v>
      </c>
      <c r="V15" s="33" t="n">
        <f aca="false">IF(V$3&gt;Inputs!$B$57,INDEX($C$14:$AL$14,1,V$3-Inputs!$B$57),0)</f>
        <v>0</v>
      </c>
      <c r="W15" s="33" t="n">
        <f aca="false">IF(W$3&gt;Inputs!$B$57,INDEX($C$14:$AL$14,1,W$3-Inputs!$B$57),0)</f>
        <v>0</v>
      </c>
      <c r="X15" s="33" t="n">
        <f aca="false">IF(X$3&gt;Inputs!$B$57,INDEX($C$14:$AL$14,1,X$3-Inputs!$B$57),0)</f>
        <v>0</v>
      </c>
      <c r="Y15" s="33" t="n">
        <f aca="false">IF(Y$3&gt;Inputs!$B$57,INDEX($C$14:$AL$14,1,Y$3-Inputs!$B$57),0)</f>
        <v>0</v>
      </c>
      <c r="Z15" s="33" t="n">
        <f aca="false">IF(Z$3&gt;Inputs!$B$57,INDEX($C$14:$AL$14,1,Z$3-Inputs!$B$57),0)</f>
        <v>0</v>
      </c>
      <c r="AA15" s="33" t="n">
        <f aca="false">IF(AA$3&gt;Inputs!$B$57,INDEX($C$14:$AL$14,1,AA$3-Inputs!$B$57),0)</f>
        <v>0</v>
      </c>
      <c r="AB15" s="33" t="n">
        <f aca="false">IF(AB$3&gt;Inputs!$B$57,INDEX($C$14:$AL$14,1,AB$3-Inputs!$B$57),0)</f>
        <v>0</v>
      </c>
      <c r="AC15" s="33" t="n">
        <f aca="false">IF(AC$3&gt;Inputs!$B$57,INDEX($C$14:$AL$14,1,AC$3-Inputs!$B$57),0)</f>
        <v>0</v>
      </c>
      <c r="AD15" s="33" t="n">
        <f aca="false">IF(AD$3&gt;Inputs!$B$57,INDEX($C$14:$AL$14,1,AD$3-Inputs!$B$57),0)</f>
        <v>0</v>
      </c>
      <c r="AE15" s="33" t="n">
        <f aca="false">IF(AE$3&gt;Inputs!$B$57,INDEX($C$14:$AL$14,1,AE$3-Inputs!$B$57),0)</f>
        <v>0</v>
      </c>
      <c r="AF15" s="33" t="n">
        <f aca="false">IF(AF$3&gt;Inputs!$B$57,INDEX($C$14:$AL$14,1,AF$3-Inputs!$B$57),0)</f>
        <v>0</v>
      </c>
      <c r="AG15" s="33" t="n">
        <f aca="false">IF(AG$3&gt;Inputs!$B$57,INDEX($C$14:$AL$14,1,AG$3-Inputs!$B$57),0)</f>
        <v>0</v>
      </c>
      <c r="AH15" s="33" t="n">
        <f aca="false">IF(AH$3&gt;Inputs!$B$57,INDEX($C$14:$AL$14,1,AH$3-Inputs!$B$57),0)</f>
        <v>0</v>
      </c>
      <c r="AI15" s="33" t="n">
        <f aca="false">IF(AI$3&gt;Inputs!$B$57,INDEX($C$14:$AL$14,1,AI$3-Inputs!$B$57),0)</f>
        <v>0</v>
      </c>
      <c r="AJ15" s="33" t="n">
        <f aca="false">IF(AJ$3&gt;Inputs!$B$57,INDEX($C$14:$AL$14,1,AJ$3-Inputs!$B$57),0)</f>
        <v>0</v>
      </c>
      <c r="AK15" s="33" t="n">
        <f aca="false">IF(AK$3&gt;Inputs!$B$57,INDEX($C$14:$AL$14,1,AK$3-Inputs!$B$57),0)</f>
        <v>0</v>
      </c>
      <c r="AL15" s="33" t="n">
        <f aca="false">IF(AL$3&gt;Inputs!$B$57,INDEX($C$14:$AL$14,1,AL$3-Inputs!$B$57),0)</f>
        <v>0.75</v>
      </c>
      <c r="AN15" s="46" t="n">
        <f aca="false">SUMIF($C$4:$AL$4,1,$C15:$AL15)</f>
        <v>0</v>
      </c>
      <c r="AO15" s="46" t="n">
        <f aca="false">SUMIF($C$4:$AL$4,2,$C15:$AL15)</f>
        <v>0</v>
      </c>
      <c r="AP15" s="46" t="n">
        <f aca="false">SUMIF($C$4:$AL$4,3,$C15:$AL15)</f>
        <v>0.75</v>
      </c>
    </row>
    <row r="16" customFormat="false" ht="15" hidden="false" customHeight="false" outlineLevel="0" collapsed="false">
      <c r="A16" s="11" t="s">
        <v>319</v>
      </c>
      <c r="B16" s="14" t="s">
        <v>317</v>
      </c>
      <c r="C16" s="33" t="n">
        <f aca="false">C14-C15</f>
        <v>0</v>
      </c>
      <c r="D16" s="33" t="n">
        <f aca="false">C16+D14-D15</f>
        <v>0</v>
      </c>
      <c r="E16" s="33" t="n">
        <f aca="false">D16+E14-E15</f>
        <v>0</v>
      </c>
      <c r="F16" s="33" t="n">
        <f aca="false">E16+F14-F15</f>
        <v>0</v>
      </c>
      <c r="G16" s="33" t="n">
        <f aca="false">F16+G14-G15</f>
        <v>0</v>
      </c>
      <c r="H16" s="33" t="n">
        <f aca="false">G16+H14-H15</f>
        <v>0</v>
      </c>
      <c r="I16" s="33" t="n">
        <f aca="false">H16+I14-I15</f>
        <v>0</v>
      </c>
      <c r="J16" s="33" t="n">
        <f aca="false">I16+J14-J15</f>
        <v>0</v>
      </c>
      <c r="K16" s="33" t="n">
        <f aca="false">J16+K14-K15</f>
        <v>0</v>
      </c>
      <c r="L16" s="33" t="n">
        <f aca="false">K16+L14-L15</f>
        <v>0</v>
      </c>
      <c r="M16" s="33" t="n">
        <f aca="false">L16+M14-M15</f>
        <v>0</v>
      </c>
      <c r="N16" s="33" t="n">
        <f aca="false">M16+N14-N15</f>
        <v>0.75</v>
      </c>
      <c r="O16" s="33" t="n">
        <f aca="false">N16+O14-O15</f>
        <v>1.5</v>
      </c>
      <c r="P16" s="33" t="n">
        <f aca="false">O16+P14-P15</f>
        <v>2.25</v>
      </c>
      <c r="Q16" s="33" t="n">
        <f aca="false">P16+Q14-Q15</f>
        <v>3</v>
      </c>
      <c r="R16" s="33" t="n">
        <f aca="false">Q16+R14-R15</f>
        <v>3.75</v>
      </c>
      <c r="S16" s="33" t="n">
        <f aca="false">R16+S14-S15</f>
        <v>4.5</v>
      </c>
      <c r="T16" s="33" t="n">
        <f aca="false">S16+T14-T15</f>
        <v>5.25</v>
      </c>
      <c r="U16" s="33" t="n">
        <f aca="false">T16+U14-U15</f>
        <v>6</v>
      </c>
      <c r="V16" s="33" t="n">
        <f aca="false">U16+V14-V15</f>
        <v>6.75</v>
      </c>
      <c r="W16" s="33" t="n">
        <f aca="false">V16+W14-W15</f>
        <v>8.25</v>
      </c>
      <c r="X16" s="33" t="n">
        <f aca="false">W16+X14-X15</f>
        <v>9.75</v>
      </c>
      <c r="Y16" s="33" t="n">
        <f aca="false">X16+Y14-Y15</f>
        <v>11.25</v>
      </c>
      <c r="Z16" s="33" t="n">
        <f aca="false">Y16+Z14-Z15</f>
        <v>12.75</v>
      </c>
      <c r="AA16" s="33" t="n">
        <f aca="false">Z16+AA14-AA15</f>
        <v>14.25</v>
      </c>
      <c r="AB16" s="33" t="n">
        <f aca="false">AA16+AB14-AB15</f>
        <v>15.75</v>
      </c>
      <c r="AC16" s="33" t="n">
        <f aca="false">AB16+AC14-AC15</f>
        <v>18</v>
      </c>
      <c r="AD16" s="33" t="n">
        <f aca="false">AC16+AD14-AD15</f>
        <v>20.25</v>
      </c>
      <c r="AE16" s="33" t="n">
        <f aca="false">AD16+AE14-AE15</f>
        <v>22.5</v>
      </c>
      <c r="AF16" s="33" t="n">
        <f aca="false">AE16+AF14-AF15</f>
        <v>24.75</v>
      </c>
      <c r="AG16" s="33" t="n">
        <f aca="false">AF16+AG14-AG15</f>
        <v>27</v>
      </c>
      <c r="AH16" s="33" t="n">
        <f aca="false">AG16+AH14-AH15</f>
        <v>29.25</v>
      </c>
      <c r="AI16" s="33" t="n">
        <f aca="false">AH16+AI14-AI15</f>
        <v>32.25</v>
      </c>
      <c r="AJ16" s="33" t="n">
        <f aca="false">AI16+AJ14-AJ15</f>
        <v>35.25</v>
      </c>
      <c r="AK16" s="33" t="n">
        <f aca="false">AJ16+AK14-AK15</f>
        <v>38.25</v>
      </c>
      <c r="AL16" s="33" t="n">
        <f aca="false">AK16+AL14-AL15</f>
        <v>40.5</v>
      </c>
      <c r="AN16" s="46" t="n">
        <f aca="false">INDEX($C16:$AL16,1,12)</f>
        <v>0.75</v>
      </c>
      <c r="AO16" s="46" t="n">
        <f aca="false">INDEX($C16:$AL16,1,24)</f>
        <v>12.75</v>
      </c>
      <c r="AP16" s="46" t="n">
        <f aca="false">INDEX($C16:$AL16,1,36)</f>
        <v>40.5</v>
      </c>
    </row>
    <row r="17" customFormat="false" ht="15" hidden="false" customHeight="false" outlineLevel="0" collapsed="false">
      <c r="A17" s="11" t="s">
        <v>320</v>
      </c>
      <c r="B17" s="14" t="s">
        <v>86</v>
      </c>
      <c r="C17" s="40" t="n">
        <f aca="false">MIN(MAX(Inputs!$B$39*1000000*Inputs!$B$36/10000/12,Inputs!$B$37),Inputs!$B$38)</f>
        <v>4375</v>
      </c>
      <c r="D17" s="40" t="n">
        <f aca="false">MIN(MAX(Inputs!$B$39*1000000*Inputs!$B$36/10000/12,Inputs!$B$37),Inputs!$B$38)</f>
        <v>4375</v>
      </c>
      <c r="E17" s="40" t="n">
        <f aca="false">MIN(MAX(Inputs!$B$39*1000000*Inputs!$B$36/10000/12,Inputs!$B$37),Inputs!$B$38)</f>
        <v>4375</v>
      </c>
      <c r="F17" s="40" t="n">
        <f aca="false">MIN(MAX(Inputs!$B$39*1000000*Inputs!$B$36/10000/12,Inputs!$B$37),Inputs!$B$38)</f>
        <v>4375</v>
      </c>
      <c r="G17" s="40" t="n">
        <f aca="false">MIN(MAX(Inputs!$B$39*1000000*Inputs!$B$36/10000/12,Inputs!$B$37),Inputs!$B$38)</f>
        <v>4375</v>
      </c>
      <c r="H17" s="40" t="n">
        <f aca="false">MIN(MAX(Inputs!$B$39*1000000*Inputs!$B$36/10000/12,Inputs!$B$37),Inputs!$B$38)</f>
        <v>4375</v>
      </c>
      <c r="I17" s="40" t="n">
        <f aca="false">MIN(MAX(Inputs!$B$39*1000000*Inputs!$B$36/10000/12,Inputs!$B$37),Inputs!$B$38)</f>
        <v>4375</v>
      </c>
      <c r="J17" s="40" t="n">
        <f aca="false">MIN(MAX(Inputs!$B$39*1000000*Inputs!$B$36/10000/12,Inputs!$B$37),Inputs!$B$38)</f>
        <v>4375</v>
      </c>
      <c r="K17" s="40" t="n">
        <f aca="false">MIN(MAX(Inputs!$B$39*1000000*Inputs!$B$36/10000/12,Inputs!$B$37),Inputs!$B$38)</f>
        <v>4375</v>
      </c>
      <c r="L17" s="40" t="n">
        <f aca="false">MIN(MAX(Inputs!$B$39*1000000*Inputs!$B$36/10000/12,Inputs!$B$37),Inputs!$B$38)</f>
        <v>4375</v>
      </c>
      <c r="M17" s="40" t="n">
        <f aca="false">MIN(MAX(Inputs!$B$39*1000000*Inputs!$B$36/10000/12,Inputs!$B$37),Inputs!$B$38)</f>
        <v>4375</v>
      </c>
      <c r="N17" s="40" t="n">
        <f aca="false">MIN(MAX(Inputs!$B$39*1000000*Inputs!$B$36/10000/12,Inputs!$B$37),Inputs!$B$38)</f>
        <v>4375</v>
      </c>
      <c r="O17" s="40" t="n">
        <f aca="false">MIN(MAX(Inputs!$B$39*1000000*Inputs!$B$36/10000/12,Inputs!$B$37),Inputs!$B$38)</f>
        <v>4375</v>
      </c>
      <c r="P17" s="40" t="n">
        <f aca="false">MIN(MAX(Inputs!$B$39*1000000*Inputs!$B$36/10000/12,Inputs!$B$37),Inputs!$B$38)</f>
        <v>4375</v>
      </c>
      <c r="Q17" s="40" t="n">
        <f aca="false">MIN(MAX(Inputs!$B$39*1000000*Inputs!$B$36/10000/12,Inputs!$B$37),Inputs!$B$38)</f>
        <v>4375</v>
      </c>
      <c r="R17" s="40" t="n">
        <f aca="false">MIN(MAX(Inputs!$B$39*1000000*Inputs!$B$36/10000/12,Inputs!$B$37),Inputs!$B$38)</f>
        <v>4375</v>
      </c>
      <c r="S17" s="40" t="n">
        <f aca="false">MIN(MAX(Inputs!$B$39*1000000*Inputs!$B$36/10000/12,Inputs!$B$37),Inputs!$B$38)</f>
        <v>4375</v>
      </c>
      <c r="T17" s="40" t="n">
        <f aca="false">MIN(MAX(Inputs!$B$39*1000000*Inputs!$B$36/10000/12,Inputs!$B$37),Inputs!$B$38)</f>
        <v>4375</v>
      </c>
      <c r="U17" s="40" t="n">
        <f aca="false">MIN(MAX(Inputs!$B$39*1000000*Inputs!$B$36/10000/12,Inputs!$B$37),Inputs!$B$38)</f>
        <v>4375</v>
      </c>
      <c r="V17" s="40" t="n">
        <f aca="false">MIN(MAX(Inputs!$B$39*1000000*Inputs!$B$36/10000/12,Inputs!$B$37),Inputs!$B$38)</f>
        <v>4375</v>
      </c>
      <c r="W17" s="40" t="n">
        <f aca="false">MIN(MAX(Inputs!$B$39*1000000*Inputs!$B$36/10000/12,Inputs!$B$37),Inputs!$B$38)</f>
        <v>4375</v>
      </c>
      <c r="X17" s="40" t="n">
        <f aca="false">MIN(MAX(Inputs!$B$39*1000000*Inputs!$B$36/10000/12,Inputs!$B$37),Inputs!$B$38)</f>
        <v>4375</v>
      </c>
      <c r="Y17" s="40" t="n">
        <f aca="false">MIN(MAX(Inputs!$B$39*1000000*Inputs!$B$36/10000/12,Inputs!$B$37),Inputs!$B$38)</f>
        <v>4375</v>
      </c>
      <c r="Z17" s="40" t="n">
        <f aca="false">MIN(MAX(Inputs!$B$39*1000000*Inputs!$B$36/10000/12,Inputs!$B$37),Inputs!$B$38)</f>
        <v>4375</v>
      </c>
      <c r="AA17" s="40" t="n">
        <f aca="false">MIN(MAX(Inputs!$B$39*1000000*Inputs!$B$36/10000/12,Inputs!$B$37),Inputs!$B$38)</f>
        <v>4375</v>
      </c>
      <c r="AB17" s="40" t="n">
        <f aca="false">MIN(MAX(Inputs!$B$39*1000000*Inputs!$B$36/10000/12,Inputs!$B$37),Inputs!$B$38)</f>
        <v>4375</v>
      </c>
      <c r="AC17" s="40" t="n">
        <f aca="false">MIN(MAX(Inputs!$B$39*1000000*Inputs!$B$36/10000/12,Inputs!$B$37),Inputs!$B$38)</f>
        <v>4375</v>
      </c>
      <c r="AD17" s="40" t="n">
        <f aca="false">MIN(MAX(Inputs!$B$39*1000000*Inputs!$B$36/10000/12,Inputs!$B$37),Inputs!$B$38)</f>
        <v>4375</v>
      </c>
      <c r="AE17" s="40" t="n">
        <f aca="false">MIN(MAX(Inputs!$B$39*1000000*Inputs!$B$36/10000/12,Inputs!$B$37),Inputs!$B$38)</f>
        <v>4375</v>
      </c>
      <c r="AF17" s="40" t="n">
        <f aca="false">MIN(MAX(Inputs!$B$39*1000000*Inputs!$B$36/10000/12,Inputs!$B$37),Inputs!$B$38)</f>
        <v>4375</v>
      </c>
      <c r="AG17" s="40" t="n">
        <f aca="false">MIN(MAX(Inputs!$B$39*1000000*Inputs!$B$36/10000/12,Inputs!$B$37),Inputs!$B$38)</f>
        <v>4375</v>
      </c>
      <c r="AH17" s="40" t="n">
        <f aca="false">MIN(MAX(Inputs!$B$39*1000000*Inputs!$B$36/10000/12,Inputs!$B$37),Inputs!$B$38)</f>
        <v>4375</v>
      </c>
      <c r="AI17" s="40" t="n">
        <f aca="false">MIN(MAX(Inputs!$B$39*1000000*Inputs!$B$36/10000/12,Inputs!$B$37),Inputs!$B$38)</f>
        <v>4375</v>
      </c>
      <c r="AJ17" s="40" t="n">
        <f aca="false">MIN(MAX(Inputs!$B$39*1000000*Inputs!$B$36/10000/12,Inputs!$B$37),Inputs!$B$38)</f>
        <v>4375</v>
      </c>
      <c r="AK17" s="40" t="n">
        <f aca="false">MIN(MAX(Inputs!$B$39*1000000*Inputs!$B$36/10000/12,Inputs!$B$37),Inputs!$B$38)</f>
        <v>4375</v>
      </c>
      <c r="AL17" s="40" t="n">
        <f aca="false">MIN(MAX(Inputs!$B$39*1000000*Inputs!$B$36/10000/12,Inputs!$B$37),Inputs!$B$38)</f>
        <v>4375</v>
      </c>
      <c r="AN17" s="47" t="n">
        <f aca="false">INDEX($C17:$AL17,1,12)</f>
        <v>4375</v>
      </c>
      <c r="AO17" s="47" t="n">
        <f aca="false">INDEX($C17:$AL17,1,24)</f>
        <v>4375</v>
      </c>
      <c r="AP17" s="47" t="n">
        <f aca="false">INDEX($C17:$AL17,1,36)</f>
        <v>4375</v>
      </c>
    </row>
    <row r="18" customFormat="false" ht="15" hidden="false" customHeight="false" outlineLevel="0" collapsed="false">
      <c r="A18" s="11" t="s">
        <v>321</v>
      </c>
      <c r="B18" s="14" t="s">
        <v>165</v>
      </c>
      <c r="C18" s="40" t="n">
        <f aca="false">C16*C17</f>
        <v>0</v>
      </c>
      <c r="D18" s="40" t="n">
        <f aca="false">D16*D17</f>
        <v>0</v>
      </c>
      <c r="E18" s="40" t="n">
        <f aca="false">E16*E17</f>
        <v>0</v>
      </c>
      <c r="F18" s="40" t="n">
        <f aca="false">F16*F17</f>
        <v>0</v>
      </c>
      <c r="G18" s="40" t="n">
        <f aca="false">G16*G17</f>
        <v>0</v>
      </c>
      <c r="H18" s="40" t="n">
        <f aca="false">H16*H17</f>
        <v>0</v>
      </c>
      <c r="I18" s="40" t="n">
        <f aca="false">I16*I17</f>
        <v>0</v>
      </c>
      <c r="J18" s="40" t="n">
        <f aca="false">J16*J17</f>
        <v>0</v>
      </c>
      <c r="K18" s="40" t="n">
        <f aca="false">K16*K17</f>
        <v>0</v>
      </c>
      <c r="L18" s="40" t="n">
        <f aca="false">L16*L17</f>
        <v>0</v>
      </c>
      <c r="M18" s="40" t="n">
        <f aca="false">M16*M17</f>
        <v>0</v>
      </c>
      <c r="N18" s="40" t="n">
        <f aca="false">N16*N17</f>
        <v>3281.25</v>
      </c>
      <c r="O18" s="40" t="n">
        <f aca="false">O16*O17</f>
        <v>6562.5</v>
      </c>
      <c r="P18" s="40" t="n">
        <f aca="false">P16*P17</f>
        <v>9843.75</v>
      </c>
      <c r="Q18" s="40" t="n">
        <f aca="false">Q16*Q17</f>
        <v>13125</v>
      </c>
      <c r="R18" s="40" t="n">
        <f aca="false">R16*R17</f>
        <v>16406.25</v>
      </c>
      <c r="S18" s="40" t="n">
        <f aca="false">S16*S17</f>
        <v>19687.5</v>
      </c>
      <c r="T18" s="40" t="n">
        <f aca="false">T16*T17</f>
        <v>22968.75</v>
      </c>
      <c r="U18" s="40" t="n">
        <f aca="false">U16*U17</f>
        <v>26250</v>
      </c>
      <c r="V18" s="40" t="n">
        <f aca="false">V16*V17</f>
        <v>29531.25</v>
      </c>
      <c r="W18" s="40" t="n">
        <f aca="false">W16*W17</f>
        <v>36093.75</v>
      </c>
      <c r="X18" s="40" t="n">
        <f aca="false">X16*X17</f>
        <v>42656.25</v>
      </c>
      <c r="Y18" s="40" t="n">
        <f aca="false">Y16*Y17</f>
        <v>49218.75</v>
      </c>
      <c r="Z18" s="40" t="n">
        <f aca="false">Z16*Z17</f>
        <v>55781.25</v>
      </c>
      <c r="AA18" s="40" t="n">
        <f aca="false">AA16*AA17</f>
        <v>62343.75</v>
      </c>
      <c r="AB18" s="40" t="n">
        <f aca="false">AB16*AB17</f>
        <v>68906.25</v>
      </c>
      <c r="AC18" s="40" t="n">
        <f aca="false">AC16*AC17</f>
        <v>78750</v>
      </c>
      <c r="AD18" s="40" t="n">
        <f aca="false">AD16*AD17</f>
        <v>88593.75</v>
      </c>
      <c r="AE18" s="40" t="n">
        <f aca="false">AE16*AE17</f>
        <v>98437.5</v>
      </c>
      <c r="AF18" s="40" t="n">
        <f aca="false">AF16*AF17</f>
        <v>108281.25</v>
      </c>
      <c r="AG18" s="40" t="n">
        <f aca="false">AG16*AG17</f>
        <v>118125</v>
      </c>
      <c r="AH18" s="40" t="n">
        <f aca="false">AH16*AH17</f>
        <v>127968.75</v>
      </c>
      <c r="AI18" s="40" t="n">
        <f aca="false">AI16*AI17</f>
        <v>141093.75</v>
      </c>
      <c r="AJ18" s="40" t="n">
        <f aca="false">AJ16*AJ17</f>
        <v>154218.75</v>
      </c>
      <c r="AK18" s="40" t="n">
        <f aca="false">AK16*AK17</f>
        <v>167343.75</v>
      </c>
      <c r="AL18" s="40" t="n">
        <f aca="false">AL16*AL17</f>
        <v>177187.5</v>
      </c>
      <c r="AN18" s="47" t="n">
        <f aca="false">SUMIF($C$4:$AL$4,1,$C18:$AL18)</f>
        <v>3281.25</v>
      </c>
      <c r="AO18" s="47" t="n">
        <f aca="false">SUMIF($C$4:$AL$4,2,$C18:$AL18)</f>
        <v>328125</v>
      </c>
      <c r="AP18" s="47" t="n">
        <f aca="false">SUMIF($C$4:$AL$4,3,$C18:$AL18)</f>
        <v>1391250</v>
      </c>
    </row>
    <row r="20" customFormat="false" ht="15" hidden="false" customHeight="false" outlineLevel="0" collapsed="false">
      <c r="A20" s="23" t="s">
        <v>202</v>
      </c>
      <c r="B20" s="14" t="s">
        <v>165</v>
      </c>
      <c r="C20" s="49" t="n">
        <f aca="false">C10+C18</f>
        <v>0</v>
      </c>
      <c r="D20" s="49" t="n">
        <f aca="false">D10+D18</f>
        <v>0</v>
      </c>
      <c r="E20" s="49" t="n">
        <f aca="false">E10+E18</f>
        <v>0</v>
      </c>
      <c r="F20" s="49" t="n">
        <f aca="false">F10+F18</f>
        <v>0</v>
      </c>
      <c r="G20" s="49" t="n">
        <f aca="false">G10+G18</f>
        <v>0</v>
      </c>
      <c r="H20" s="49" t="n">
        <f aca="false">H10+H18</f>
        <v>7000</v>
      </c>
      <c r="I20" s="49" t="n">
        <f aca="false">I10+I18</f>
        <v>10430</v>
      </c>
      <c r="J20" s="49" t="n">
        <f aca="false">J10+J18</f>
        <v>13825.7</v>
      </c>
      <c r="K20" s="49" t="n">
        <f aca="false">K10+K18</f>
        <v>17187.443</v>
      </c>
      <c r="L20" s="49" t="n">
        <f aca="false">L10+L18</f>
        <v>20515.56857</v>
      </c>
      <c r="M20" s="49" t="n">
        <f aca="false">M10+M18</f>
        <v>23810.4128843</v>
      </c>
      <c r="N20" s="49" t="n">
        <f aca="false">N10+N18</f>
        <v>30353.558755457</v>
      </c>
      <c r="O20" s="49" t="n">
        <f aca="false">O10+O18</f>
        <v>37739.0856679024</v>
      </c>
      <c r="P20" s="49" t="n">
        <f aca="false">P10+P18</f>
        <v>45083.5698112234</v>
      </c>
      <c r="Q20" s="49" t="n">
        <f aca="false">Q10+Q18</f>
        <v>52387.4216131112</v>
      </c>
      <c r="R20" s="49" t="n">
        <f aca="false">R10+R18</f>
        <v>59651.0473969801</v>
      </c>
      <c r="S20" s="49" t="n">
        <f aca="false">S10+S18</f>
        <v>66874.8494230103</v>
      </c>
      <c r="T20" s="49" t="n">
        <f aca="false">T10+T18</f>
        <v>74059.2259287802</v>
      </c>
      <c r="U20" s="49" t="n">
        <f aca="false">U10+U18</f>
        <v>81204.5711694924</v>
      </c>
      <c r="V20" s="49" t="n">
        <f aca="false">V10+V18</f>
        <v>88311.2754577974</v>
      </c>
      <c r="W20" s="49" t="n">
        <f aca="false">W10+W18</f>
        <v>98660.9752032195</v>
      </c>
      <c r="X20" s="49" t="n">
        <f aca="false">X10+X18</f>
        <v>108972.802951187</v>
      </c>
      <c r="Y20" s="49" t="n">
        <f aca="false">Y10+Y18</f>
        <v>119247.137421675</v>
      </c>
      <c r="Z20" s="49" t="n">
        <f aca="false">Z10+Z18</f>
        <v>129484.353547459</v>
      </c>
      <c r="AA20" s="49" t="n">
        <f aca="false">AA10+AA18</f>
        <v>140559.822511984</v>
      </c>
      <c r="AB20" s="49" t="n">
        <f aca="false">AB10+AB18</f>
        <v>151590.161786864</v>
      </c>
      <c r="AC20" s="49" t="n">
        <f aca="false">AC10+AC18</f>
        <v>165857.072668996</v>
      </c>
      <c r="AD20" s="49" t="n">
        <f aca="false">AD10+AD18</f>
        <v>180079.751942306</v>
      </c>
      <c r="AE20" s="49" t="n">
        <f aca="false">AE10+AE18</f>
        <v>194258.641922883</v>
      </c>
      <c r="AF20" s="49" t="n">
        <f aca="false">AF10+AF18</f>
        <v>208394.180503654</v>
      </c>
      <c r="AG20" s="49" t="n">
        <f aca="false">AG10+AG18</f>
        <v>222486.801198617</v>
      </c>
      <c r="AH20" s="49" t="n">
        <f aca="false">AH10+AH18</f>
        <v>236536.933186631</v>
      </c>
      <c r="AI20" s="49" t="n">
        <f aca="false">AI10+AI18</f>
        <v>253826.251354765</v>
      </c>
      <c r="AJ20" s="49" t="n">
        <f aca="false">AJ10+AJ18</f>
        <v>271073.926341217</v>
      </c>
      <c r="AK20" s="49" t="n">
        <f aca="false">AK10+AK18</f>
        <v>288280.374577805</v>
      </c>
      <c r="AL20" s="49" t="n">
        <f aca="false">AL10+AL18</f>
        <v>302164.758332027</v>
      </c>
      <c r="AN20" s="50" t="n">
        <f aca="false">SUMIF($C$4:$AL$4,1,$C20:$AL20)</f>
        <v>123122.683209757</v>
      </c>
      <c r="AO20" s="50" t="n">
        <f aca="false">SUMIF($C$4:$AL$4,2,$C20:$AL20)</f>
        <v>961676.315591838</v>
      </c>
      <c r="AP20" s="50" t="n">
        <f aca="false">SUMIF($C$4:$AL$4,3,$C20:$AL20)</f>
        <v>2615108.67632775</v>
      </c>
    </row>
    <row r="21" customFormat="false" ht="15" hidden="false" customHeight="false" outlineLevel="0" collapsed="false">
      <c r="A21" s="11" t="s">
        <v>322</v>
      </c>
      <c r="B21" s="14" t="s">
        <v>165</v>
      </c>
      <c r="C21" s="40" t="n">
        <f aca="false">C20*12</f>
        <v>0</v>
      </c>
      <c r="D21" s="40" t="n">
        <f aca="false">D20*12</f>
        <v>0</v>
      </c>
      <c r="E21" s="40" t="n">
        <f aca="false">E20*12</f>
        <v>0</v>
      </c>
      <c r="F21" s="40" t="n">
        <f aca="false">F20*12</f>
        <v>0</v>
      </c>
      <c r="G21" s="40" t="n">
        <f aca="false">G20*12</f>
        <v>0</v>
      </c>
      <c r="H21" s="40" t="n">
        <f aca="false">H20*12</f>
        <v>84000</v>
      </c>
      <c r="I21" s="40" t="n">
        <f aca="false">I20*12</f>
        <v>125160</v>
      </c>
      <c r="J21" s="40" t="n">
        <f aca="false">J20*12</f>
        <v>165908.4</v>
      </c>
      <c r="K21" s="40" t="n">
        <f aca="false">K20*12</f>
        <v>206249.316</v>
      </c>
      <c r="L21" s="40" t="n">
        <f aca="false">L20*12</f>
        <v>246186.82284</v>
      </c>
      <c r="M21" s="40" t="n">
        <f aca="false">M20*12</f>
        <v>285724.9546116</v>
      </c>
      <c r="N21" s="40" t="n">
        <f aca="false">N20*12</f>
        <v>364242.705065484</v>
      </c>
      <c r="O21" s="40" t="n">
        <f aca="false">O20*12</f>
        <v>452869.028014829</v>
      </c>
      <c r="P21" s="40" t="n">
        <f aca="false">P20*12</f>
        <v>541002.837734681</v>
      </c>
      <c r="Q21" s="40" t="n">
        <f aca="false">Q20*12</f>
        <v>628649.059357334</v>
      </c>
      <c r="R21" s="40" t="n">
        <f aca="false">R20*12</f>
        <v>715812.568763761</v>
      </c>
      <c r="S21" s="40" t="n">
        <f aca="false">S20*12</f>
        <v>802498.193076123</v>
      </c>
      <c r="T21" s="40" t="n">
        <f aca="false">T20*12</f>
        <v>888710.711145362</v>
      </c>
      <c r="U21" s="40" t="n">
        <f aca="false">U20*12</f>
        <v>974454.854033908</v>
      </c>
      <c r="V21" s="40" t="n">
        <f aca="false">V20*12</f>
        <v>1059735.30549357</v>
      </c>
      <c r="W21" s="40" t="n">
        <f aca="false">W20*12</f>
        <v>1183931.70243863</v>
      </c>
      <c r="X21" s="40" t="n">
        <f aca="false">X20*12</f>
        <v>1307673.63541425</v>
      </c>
      <c r="Y21" s="40" t="n">
        <f aca="false">Y20*12</f>
        <v>1430965.6490601</v>
      </c>
      <c r="Z21" s="40" t="n">
        <f aca="false">Z20*12</f>
        <v>1553812.2425695</v>
      </c>
      <c r="AA21" s="40" t="n">
        <f aca="false">AA20*12</f>
        <v>1686717.87014381</v>
      </c>
      <c r="AB21" s="40" t="n">
        <f aca="false">AB20*12</f>
        <v>1819081.94144237</v>
      </c>
      <c r="AC21" s="40" t="n">
        <f aca="false">AC20*12</f>
        <v>1990284.87202795</v>
      </c>
      <c r="AD21" s="40" t="n">
        <f aca="false">AD20*12</f>
        <v>2160957.02330767</v>
      </c>
      <c r="AE21" s="40" t="n">
        <f aca="false">AE20*12</f>
        <v>2331103.70307459</v>
      </c>
      <c r="AF21" s="40" t="n">
        <f aca="false">AF20*12</f>
        <v>2500730.16604384</v>
      </c>
      <c r="AG21" s="40" t="n">
        <f aca="false">AG20*12</f>
        <v>2669841.61438341</v>
      </c>
      <c r="AH21" s="40" t="n">
        <f aca="false">AH20*12</f>
        <v>2838443.19823957</v>
      </c>
      <c r="AI21" s="40" t="n">
        <f aca="false">AI20*12</f>
        <v>3045915.01625718</v>
      </c>
      <c r="AJ21" s="40" t="n">
        <f aca="false">AJ20*12</f>
        <v>3252887.1160946</v>
      </c>
      <c r="AK21" s="40" t="n">
        <f aca="false">AK20*12</f>
        <v>3459364.49493366</v>
      </c>
      <c r="AL21" s="40" t="n">
        <f aca="false">AL20*12</f>
        <v>3625977.09998432</v>
      </c>
      <c r="AN21" s="47" t="n">
        <f aca="false">INDEX($C21:$AL21,1,12)</f>
        <v>364242.705065484</v>
      </c>
      <c r="AO21" s="47" t="n">
        <f aca="false">INDEX($C21:$AL21,1,24)</f>
        <v>1553812.2425695</v>
      </c>
      <c r="AP21" s="47" t="n">
        <f aca="false">INDEX($C21:$AL21,1,36)</f>
        <v>3625977.09998432</v>
      </c>
    </row>
    <row r="23" customFormat="false" ht="15" hidden="false" customHeight="false" outlineLevel="0" collapsed="false">
      <c r="A23" s="9" t="s">
        <v>323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customFormat="false" ht="15" hidden="false" customHeight="false" outlineLevel="0" collapsed="false">
      <c r="A24" s="11" t="s">
        <v>324</v>
      </c>
      <c r="B24" s="14" t="s">
        <v>131</v>
      </c>
      <c r="C24" s="37" t="n">
        <f aca="false">Inputs!$B$60+COUNTIF(Inputs!$C$66:$C$72,"&lt;="&amp;C$3)</f>
        <v>2</v>
      </c>
      <c r="D24" s="37" t="n">
        <f aca="false">Inputs!$B$60+COUNTIF(Inputs!$C$66:$C$72,"&lt;="&amp;D$3)</f>
        <v>2</v>
      </c>
      <c r="E24" s="37" t="n">
        <f aca="false">Inputs!$B$60+COUNTIF(Inputs!$C$66:$C$72,"&lt;="&amp;E$3)</f>
        <v>2</v>
      </c>
      <c r="F24" s="37" t="n">
        <f aca="false">Inputs!$B$60+COUNTIF(Inputs!$C$66:$C$72,"&lt;="&amp;F$3)</f>
        <v>2</v>
      </c>
      <c r="G24" s="37" t="n">
        <f aca="false">Inputs!$B$60+COUNTIF(Inputs!$C$66:$C$72,"&lt;="&amp;G$3)</f>
        <v>2</v>
      </c>
      <c r="H24" s="37" t="n">
        <f aca="false">Inputs!$B$60+COUNTIF(Inputs!$C$66:$C$72,"&lt;="&amp;H$3)</f>
        <v>2</v>
      </c>
      <c r="I24" s="37" t="n">
        <f aca="false">Inputs!$B$60+COUNTIF(Inputs!$C$66:$C$72,"&lt;="&amp;I$3)</f>
        <v>2</v>
      </c>
      <c r="J24" s="37" t="n">
        <f aca="false">Inputs!$B$60+COUNTIF(Inputs!$C$66:$C$72,"&lt;="&amp;J$3)</f>
        <v>2</v>
      </c>
      <c r="K24" s="37" t="n">
        <f aca="false">Inputs!$B$60+COUNTIF(Inputs!$C$66:$C$72,"&lt;="&amp;K$3)</f>
        <v>2</v>
      </c>
      <c r="L24" s="37" t="n">
        <f aca="false">Inputs!$B$60+COUNTIF(Inputs!$C$66:$C$72,"&lt;="&amp;L$3)</f>
        <v>2</v>
      </c>
      <c r="M24" s="37" t="n">
        <f aca="false">Inputs!$B$60+COUNTIF(Inputs!$C$66:$C$72,"&lt;="&amp;M$3)</f>
        <v>2</v>
      </c>
      <c r="N24" s="37" t="n">
        <f aca="false">Inputs!$B$60+COUNTIF(Inputs!$C$66:$C$72,"&lt;="&amp;N$3)</f>
        <v>2</v>
      </c>
      <c r="O24" s="37" t="n">
        <f aca="false">Inputs!$B$60+COUNTIF(Inputs!$C$66:$C$72,"&lt;="&amp;O$3)</f>
        <v>2</v>
      </c>
      <c r="P24" s="37" t="n">
        <f aca="false">Inputs!$B$60+COUNTIF(Inputs!$C$66:$C$72,"&lt;="&amp;P$3)</f>
        <v>2</v>
      </c>
      <c r="Q24" s="37" t="n">
        <f aca="false">Inputs!$B$60+COUNTIF(Inputs!$C$66:$C$72,"&lt;="&amp;Q$3)</f>
        <v>2</v>
      </c>
      <c r="R24" s="37" t="n">
        <f aca="false">Inputs!$B$60+COUNTIF(Inputs!$C$66:$C$72,"&lt;="&amp;R$3)</f>
        <v>5</v>
      </c>
      <c r="S24" s="37" t="n">
        <f aca="false">Inputs!$B$60+COUNTIF(Inputs!$C$66:$C$72,"&lt;="&amp;S$3)</f>
        <v>5</v>
      </c>
      <c r="T24" s="37" t="n">
        <f aca="false">Inputs!$B$60+COUNTIF(Inputs!$C$66:$C$72,"&lt;="&amp;T$3)</f>
        <v>5</v>
      </c>
      <c r="U24" s="37" t="n">
        <f aca="false">Inputs!$B$60+COUNTIF(Inputs!$C$66:$C$72,"&lt;="&amp;U$3)</f>
        <v>5</v>
      </c>
      <c r="V24" s="37" t="n">
        <f aca="false">Inputs!$B$60+COUNTIF(Inputs!$C$66:$C$72,"&lt;="&amp;V$3)</f>
        <v>5</v>
      </c>
      <c r="W24" s="37" t="n">
        <f aca="false">Inputs!$B$60+COUNTIF(Inputs!$C$66:$C$72,"&lt;="&amp;W$3)</f>
        <v>5</v>
      </c>
      <c r="X24" s="37" t="n">
        <f aca="false">Inputs!$B$60+COUNTIF(Inputs!$C$66:$C$72,"&lt;="&amp;X$3)</f>
        <v>6</v>
      </c>
      <c r="Y24" s="37" t="n">
        <f aca="false">Inputs!$B$60+COUNTIF(Inputs!$C$66:$C$72,"&lt;="&amp;Y$3)</f>
        <v>6</v>
      </c>
      <c r="Z24" s="37" t="n">
        <f aca="false">Inputs!$B$60+COUNTIF(Inputs!$C$66:$C$72,"&lt;="&amp;Z$3)</f>
        <v>6</v>
      </c>
      <c r="AA24" s="37" t="n">
        <f aca="false">Inputs!$B$60+COUNTIF(Inputs!$C$66:$C$72,"&lt;="&amp;AA$3)</f>
        <v>7</v>
      </c>
      <c r="AB24" s="37" t="n">
        <f aca="false">Inputs!$B$60+COUNTIF(Inputs!$C$66:$C$72,"&lt;="&amp;AB$3)</f>
        <v>7</v>
      </c>
      <c r="AC24" s="37" t="n">
        <f aca="false">Inputs!$B$60+COUNTIF(Inputs!$C$66:$C$72,"&lt;="&amp;AC$3)</f>
        <v>7</v>
      </c>
      <c r="AD24" s="37" t="n">
        <f aca="false">Inputs!$B$60+COUNTIF(Inputs!$C$66:$C$72,"&lt;="&amp;AD$3)</f>
        <v>8</v>
      </c>
      <c r="AE24" s="37" t="n">
        <f aca="false">Inputs!$B$60+COUNTIF(Inputs!$C$66:$C$72,"&lt;="&amp;AE$3)</f>
        <v>8</v>
      </c>
      <c r="AF24" s="37" t="n">
        <f aca="false">Inputs!$B$60+COUNTIF(Inputs!$C$66:$C$72,"&lt;="&amp;AF$3)</f>
        <v>8</v>
      </c>
      <c r="AG24" s="37" t="n">
        <f aca="false">Inputs!$B$60+COUNTIF(Inputs!$C$66:$C$72,"&lt;="&amp;AG$3)</f>
        <v>9</v>
      </c>
      <c r="AH24" s="37" t="n">
        <f aca="false">Inputs!$B$60+COUNTIF(Inputs!$C$66:$C$72,"&lt;="&amp;AH$3)</f>
        <v>9</v>
      </c>
      <c r="AI24" s="37" t="n">
        <f aca="false">Inputs!$B$60+COUNTIF(Inputs!$C$66:$C$72,"&lt;="&amp;AI$3)</f>
        <v>9</v>
      </c>
      <c r="AJ24" s="37" t="n">
        <f aca="false">Inputs!$B$60+COUNTIF(Inputs!$C$66:$C$72,"&lt;="&amp;AJ$3)</f>
        <v>9</v>
      </c>
      <c r="AK24" s="37" t="n">
        <f aca="false">Inputs!$B$60+COUNTIF(Inputs!$C$66:$C$72,"&lt;="&amp;AK$3)</f>
        <v>9</v>
      </c>
      <c r="AL24" s="37" t="n">
        <f aca="false">Inputs!$B$60+COUNTIF(Inputs!$C$66:$C$72,"&lt;="&amp;AL$3)</f>
        <v>9</v>
      </c>
      <c r="AN24" s="48" t="n">
        <f aca="false">INDEX($C24:$AL24,1,12)</f>
        <v>2</v>
      </c>
      <c r="AO24" s="48" t="n">
        <f aca="false">INDEX($C24:$AL24,1,24)</f>
        <v>6</v>
      </c>
      <c r="AP24" s="48" t="n">
        <f aca="false">INDEX($C24:$AL24,1,36)</f>
        <v>9</v>
      </c>
    </row>
    <row r="25" customFormat="false" ht="15" hidden="false" customHeight="false" outlineLevel="0" collapsed="false">
      <c r="A25" s="11" t="s">
        <v>325</v>
      </c>
      <c r="B25" s="14" t="s">
        <v>165</v>
      </c>
      <c r="C25" s="40" t="n">
        <f aca="false">Inputs!$B$60*Inputs!$B$61/12*(1+Inputs!$B$62)</f>
        <v>26133.3333333333</v>
      </c>
      <c r="D25" s="40" t="n">
        <f aca="false">Inputs!$B$60*Inputs!$B$61/12*(1+Inputs!$B$62)</f>
        <v>26133.3333333333</v>
      </c>
      <c r="E25" s="40" t="n">
        <f aca="false">Inputs!$B$60*Inputs!$B$61/12*(1+Inputs!$B$62)</f>
        <v>26133.3333333333</v>
      </c>
      <c r="F25" s="40" t="n">
        <f aca="false">Inputs!$B$60*Inputs!$B$61/12*(1+Inputs!$B$62)</f>
        <v>26133.3333333333</v>
      </c>
      <c r="G25" s="40" t="n">
        <f aca="false">Inputs!$B$60*Inputs!$B$61/12*(1+Inputs!$B$62)</f>
        <v>26133.3333333333</v>
      </c>
      <c r="H25" s="40" t="n">
        <f aca="false">Inputs!$B$60*Inputs!$B$61/12*(1+Inputs!$B$62)</f>
        <v>26133.3333333333</v>
      </c>
      <c r="I25" s="40" t="n">
        <f aca="false">Inputs!$B$60*Inputs!$B$61/12*(1+Inputs!$B$62)</f>
        <v>26133.3333333333</v>
      </c>
      <c r="J25" s="40" t="n">
        <f aca="false">Inputs!$B$60*Inputs!$B$61/12*(1+Inputs!$B$62)</f>
        <v>26133.3333333333</v>
      </c>
      <c r="K25" s="40" t="n">
        <f aca="false">Inputs!$B$60*Inputs!$B$61/12*(1+Inputs!$B$62)</f>
        <v>26133.3333333333</v>
      </c>
      <c r="L25" s="40" t="n">
        <f aca="false">Inputs!$B$60*Inputs!$B$61/12*(1+Inputs!$B$62)</f>
        <v>26133.3333333333</v>
      </c>
      <c r="M25" s="40" t="n">
        <f aca="false">Inputs!$B$60*Inputs!$B$61/12*(1+Inputs!$B$62)</f>
        <v>26133.3333333333</v>
      </c>
      <c r="N25" s="40" t="n">
        <f aca="false">Inputs!$B$60*Inputs!$B$61/12*(1+Inputs!$B$62)</f>
        <v>26133.3333333333</v>
      </c>
      <c r="O25" s="40" t="n">
        <f aca="false">Inputs!$B$60*Inputs!$B$61/12*(1+Inputs!$B$62)</f>
        <v>26133.3333333333</v>
      </c>
      <c r="P25" s="40" t="n">
        <f aca="false">Inputs!$B$60*Inputs!$B$61/12*(1+Inputs!$B$62)</f>
        <v>26133.3333333333</v>
      </c>
      <c r="Q25" s="40" t="n">
        <f aca="false">Inputs!$B$60*Inputs!$B$61/12*(1+Inputs!$B$62)</f>
        <v>26133.3333333333</v>
      </c>
      <c r="R25" s="40" t="n">
        <f aca="false">Inputs!$B$60*Inputs!$B$61/12*(1+Inputs!$B$62)</f>
        <v>26133.3333333333</v>
      </c>
      <c r="S25" s="40" t="n">
        <f aca="false">Inputs!$B$60*Inputs!$B$61/12*(1+Inputs!$B$62)</f>
        <v>26133.3333333333</v>
      </c>
      <c r="T25" s="40" t="n">
        <f aca="false">Inputs!$B$60*Inputs!$B$61/12*(1+Inputs!$B$62)</f>
        <v>26133.3333333333</v>
      </c>
      <c r="U25" s="40" t="n">
        <f aca="false">Inputs!$B$60*Inputs!$B$61/12*(1+Inputs!$B$62)</f>
        <v>26133.3333333333</v>
      </c>
      <c r="V25" s="40" t="n">
        <f aca="false">Inputs!$B$60*Inputs!$B$61/12*(1+Inputs!$B$62)</f>
        <v>26133.3333333333</v>
      </c>
      <c r="W25" s="40" t="n">
        <f aca="false">Inputs!$B$60*Inputs!$B$61/12*(1+Inputs!$B$62)</f>
        <v>26133.3333333333</v>
      </c>
      <c r="X25" s="40" t="n">
        <f aca="false">Inputs!$B$60*Inputs!$B$61/12*(1+Inputs!$B$62)</f>
        <v>26133.3333333333</v>
      </c>
      <c r="Y25" s="40" t="n">
        <f aca="false">Inputs!$B$60*Inputs!$B$61/12*(1+Inputs!$B$62)</f>
        <v>26133.3333333333</v>
      </c>
      <c r="Z25" s="40" t="n">
        <f aca="false">Inputs!$B$60*Inputs!$B$61/12*(1+Inputs!$B$62)</f>
        <v>26133.3333333333</v>
      </c>
      <c r="AA25" s="40" t="n">
        <f aca="false">Inputs!$B$60*Inputs!$B$61/12*(1+Inputs!$B$62)</f>
        <v>26133.3333333333</v>
      </c>
      <c r="AB25" s="40" t="n">
        <f aca="false">Inputs!$B$60*Inputs!$B$61/12*(1+Inputs!$B$62)</f>
        <v>26133.3333333333</v>
      </c>
      <c r="AC25" s="40" t="n">
        <f aca="false">Inputs!$B$60*Inputs!$B$61/12*(1+Inputs!$B$62)</f>
        <v>26133.3333333333</v>
      </c>
      <c r="AD25" s="40" t="n">
        <f aca="false">Inputs!$B$60*Inputs!$B$61/12*(1+Inputs!$B$62)</f>
        <v>26133.3333333333</v>
      </c>
      <c r="AE25" s="40" t="n">
        <f aca="false">Inputs!$B$60*Inputs!$B$61/12*(1+Inputs!$B$62)</f>
        <v>26133.3333333333</v>
      </c>
      <c r="AF25" s="40" t="n">
        <f aca="false">Inputs!$B$60*Inputs!$B$61/12*(1+Inputs!$B$62)</f>
        <v>26133.3333333333</v>
      </c>
      <c r="AG25" s="40" t="n">
        <f aca="false">Inputs!$B$60*Inputs!$B$61/12*(1+Inputs!$B$62)</f>
        <v>26133.3333333333</v>
      </c>
      <c r="AH25" s="40" t="n">
        <f aca="false">Inputs!$B$60*Inputs!$B$61/12*(1+Inputs!$B$62)</f>
        <v>26133.3333333333</v>
      </c>
      <c r="AI25" s="40" t="n">
        <f aca="false">Inputs!$B$60*Inputs!$B$61/12*(1+Inputs!$B$62)</f>
        <v>26133.3333333333</v>
      </c>
      <c r="AJ25" s="40" t="n">
        <f aca="false">Inputs!$B$60*Inputs!$B$61/12*(1+Inputs!$B$62)</f>
        <v>26133.3333333333</v>
      </c>
      <c r="AK25" s="40" t="n">
        <f aca="false">Inputs!$B$60*Inputs!$B$61/12*(1+Inputs!$B$62)</f>
        <v>26133.3333333333</v>
      </c>
      <c r="AL25" s="40" t="n">
        <f aca="false">Inputs!$B$60*Inputs!$B$61/12*(1+Inputs!$B$62)</f>
        <v>26133.3333333333</v>
      </c>
      <c r="AN25" s="47" t="n">
        <f aca="false">SUMIF($C$4:$AL$4,1,$C25:$AL25)</f>
        <v>313600</v>
      </c>
      <c r="AO25" s="47" t="n">
        <f aca="false">SUMIF($C$4:$AL$4,2,$C25:$AL25)</f>
        <v>313600</v>
      </c>
      <c r="AP25" s="47" t="n">
        <f aca="false">SUMIF($C$4:$AL$4,3,$C25:$AL25)</f>
        <v>313600</v>
      </c>
    </row>
    <row r="26" customFormat="false" ht="15" hidden="false" customHeight="false" outlineLevel="0" collapsed="false">
      <c r="A26" s="11" t="s">
        <v>326</v>
      </c>
      <c r="B26" s="14" t="s">
        <v>165</v>
      </c>
      <c r="C26" s="40" t="n">
        <f aca="false">SUMPRODUCT((Inputs!$C$66:$C$72&lt;=C$3)*Inputs!$B$66:$B$72)/12*(1+Inputs!$B$62)</f>
        <v>0</v>
      </c>
      <c r="D26" s="40" t="n">
        <f aca="false">SUMPRODUCT((Inputs!$C$66:$C$72&lt;=D$3)*Inputs!$B$66:$B$72)/12*(1+Inputs!$B$62)</f>
        <v>0</v>
      </c>
      <c r="E26" s="40" t="n">
        <f aca="false">SUMPRODUCT((Inputs!$C$66:$C$72&lt;=E$3)*Inputs!$B$66:$B$72)/12*(1+Inputs!$B$62)</f>
        <v>0</v>
      </c>
      <c r="F26" s="40" t="n">
        <f aca="false">SUMPRODUCT((Inputs!$C$66:$C$72&lt;=F$3)*Inputs!$B$66:$B$72)/12*(1+Inputs!$B$62)</f>
        <v>0</v>
      </c>
      <c r="G26" s="40" t="n">
        <f aca="false">SUMPRODUCT((Inputs!$C$66:$C$72&lt;=G$3)*Inputs!$B$66:$B$72)/12*(1+Inputs!$B$62)</f>
        <v>0</v>
      </c>
      <c r="H26" s="40" t="n">
        <f aca="false">SUMPRODUCT((Inputs!$C$66:$C$72&lt;=H$3)*Inputs!$B$66:$B$72)/12*(1+Inputs!$B$62)</f>
        <v>0</v>
      </c>
      <c r="I26" s="40" t="n">
        <f aca="false">SUMPRODUCT((Inputs!$C$66:$C$72&lt;=I$3)*Inputs!$B$66:$B$72)/12*(1+Inputs!$B$62)</f>
        <v>0</v>
      </c>
      <c r="J26" s="40" t="n">
        <f aca="false">SUMPRODUCT((Inputs!$C$66:$C$72&lt;=J$3)*Inputs!$B$66:$B$72)/12*(1+Inputs!$B$62)</f>
        <v>0</v>
      </c>
      <c r="K26" s="40" t="n">
        <f aca="false">SUMPRODUCT((Inputs!$C$66:$C$72&lt;=K$3)*Inputs!$B$66:$B$72)/12*(1+Inputs!$B$62)</f>
        <v>0</v>
      </c>
      <c r="L26" s="40" t="n">
        <f aca="false">SUMPRODUCT((Inputs!$C$66:$C$72&lt;=L$3)*Inputs!$B$66:$B$72)/12*(1+Inputs!$B$62)</f>
        <v>0</v>
      </c>
      <c r="M26" s="40" t="n">
        <f aca="false">SUMPRODUCT((Inputs!$C$66:$C$72&lt;=M$3)*Inputs!$B$66:$B$72)/12*(1+Inputs!$B$62)</f>
        <v>0</v>
      </c>
      <c r="N26" s="40" t="n">
        <f aca="false">SUMPRODUCT((Inputs!$C$66:$C$72&lt;=N$3)*Inputs!$B$66:$B$72)/12*(1+Inputs!$B$62)</f>
        <v>0</v>
      </c>
      <c r="O26" s="40" t="n">
        <f aca="false">SUMPRODUCT((Inputs!$C$66:$C$72&lt;=O$3)*Inputs!$B$66:$B$72)/12*(1+Inputs!$B$62)</f>
        <v>0</v>
      </c>
      <c r="P26" s="40" t="n">
        <f aca="false">SUMPRODUCT((Inputs!$C$66:$C$72&lt;=P$3)*Inputs!$B$66:$B$72)/12*(1+Inputs!$B$62)</f>
        <v>0</v>
      </c>
      <c r="Q26" s="40" t="n">
        <f aca="false">SUMPRODUCT((Inputs!$C$66:$C$72&lt;=Q$3)*Inputs!$B$66:$B$72)/12*(1+Inputs!$B$62)</f>
        <v>0</v>
      </c>
      <c r="R26" s="40" t="n">
        <f aca="false">SUMPRODUCT((Inputs!$C$66:$C$72&lt;=R$3)*Inputs!$B$66:$B$72)/12*(1+Inputs!$B$62)</f>
        <v>41066.6666666667</v>
      </c>
      <c r="S26" s="40" t="n">
        <f aca="false">SUMPRODUCT((Inputs!$C$66:$C$72&lt;=S$3)*Inputs!$B$66:$B$72)/12*(1+Inputs!$B$62)</f>
        <v>41066.6666666667</v>
      </c>
      <c r="T26" s="40" t="n">
        <f aca="false">SUMPRODUCT((Inputs!$C$66:$C$72&lt;=T$3)*Inputs!$B$66:$B$72)/12*(1+Inputs!$B$62)</f>
        <v>41066.6666666667</v>
      </c>
      <c r="U26" s="40" t="n">
        <f aca="false">SUMPRODUCT((Inputs!$C$66:$C$72&lt;=U$3)*Inputs!$B$66:$B$72)/12*(1+Inputs!$B$62)</f>
        <v>41066.6666666667</v>
      </c>
      <c r="V26" s="40" t="n">
        <f aca="false">SUMPRODUCT((Inputs!$C$66:$C$72&lt;=V$3)*Inputs!$B$66:$B$72)/12*(1+Inputs!$B$62)</f>
        <v>41066.6666666667</v>
      </c>
      <c r="W26" s="40" t="n">
        <f aca="false">SUMPRODUCT((Inputs!$C$66:$C$72&lt;=W$3)*Inputs!$B$66:$B$72)/12*(1+Inputs!$B$62)</f>
        <v>41066.6666666667</v>
      </c>
      <c r="X26" s="40" t="n">
        <f aca="false">SUMPRODUCT((Inputs!$C$66:$C$72&lt;=X$3)*Inputs!$B$66:$B$72)/12*(1+Inputs!$B$62)</f>
        <v>56000</v>
      </c>
      <c r="Y26" s="40" t="n">
        <f aca="false">SUMPRODUCT((Inputs!$C$66:$C$72&lt;=Y$3)*Inputs!$B$66:$B$72)/12*(1+Inputs!$B$62)</f>
        <v>56000</v>
      </c>
      <c r="Z26" s="40" t="n">
        <f aca="false">SUMPRODUCT((Inputs!$C$66:$C$72&lt;=Z$3)*Inputs!$B$66:$B$72)/12*(1+Inputs!$B$62)</f>
        <v>56000</v>
      </c>
      <c r="AA26" s="40" t="n">
        <f aca="false">SUMPRODUCT((Inputs!$C$66:$C$72&lt;=AA$3)*Inputs!$B$66:$B$72)/12*(1+Inputs!$B$62)</f>
        <v>66266.6666666667</v>
      </c>
      <c r="AB26" s="40" t="n">
        <f aca="false">SUMPRODUCT((Inputs!$C$66:$C$72&lt;=AB$3)*Inputs!$B$66:$B$72)/12*(1+Inputs!$B$62)</f>
        <v>66266.6666666667</v>
      </c>
      <c r="AC26" s="40" t="n">
        <f aca="false">SUMPRODUCT((Inputs!$C$66:$C$72&lt;=AC$3)*Inputs!$B$66:$B$72)/12*(1+Inputs!$B$62)</f>
        <v>66266.6666666667</v>
      </c>
      <c r="AD26" s="40" t="n">
        <f aca="false">SUMPRODUCT((Inputs!$C$66:$C$72&lt;=AD$3)*Inputs!$B$66:$B$72)/12*(1+Inputs!$B$62)</f>
        <v>81200</v>
      </c>
      <c r="AE26" s="40" t="n">
        <f aca="false">SUMPRODUCT((Inputs!$C$66:$C$72&lt;=AE$3)*Inputs!$B$66:$B$72)/12*(1+Inputs!$B$62)</f>
        <v>81200</v>
      </c>
      <c r="AF26" s="40" t="n">
        <f aca="false">SUMPRODUCT((Inputs!$C$66:$C$72&lt;=AF$3)*Inputs!$B$66:$B$72)/12*(1+Inputs!$B$62)</f>
        <v>81200</v>
      </c>
      <c r="AG26" s="40" t="n">
        <f aca="false">SUMPRODUCT((Inputs!$C$66:$C$72&lt;=AG$3)*Inputs!$B$66:$B$72)/12*(1+Inputs!$B$62)</f>
        <v>91466.6666666667</v>
      </c>
      <c r="AH26" s="40" t="n">
        <f aca="false">SUMPRODUCT((Inputs!$C$66:$C$72&lt;=AH$3)*Inputs!$B$66:$B$72)/12*(1+Inputs!$B$62)</f>
        <v>91466.6666666667</v>
      </c>
      <c r="AI26" s="40" t="n">
        <f aca="false">SUMPRODUCT((Inputs!$C$66:$C$72&lt;=AI$3)*Inputs!$B$66:$B$72)/12*(1+Inputs!$B$62)</f>
        <v>91466.6666666667</v>
      </c>
      <c r="AJ26" s="40" t="n">
        <f aca="false">SUMPRODUCT((Inputs!$C$66:$C$72&lt;=AJ$3)*Inputs!$B$66:$B$72)/12*(1+Inputs!$B$62)</f>
        <v>91466.6666666667</v>
      </c>
      <c r="AK26" s="40" t="n">
        <f aca="false">SUMPRODUCT((Inputs!$C$66:$C$72&lt;=AK$3)*Inputs!$B$66:$B$72)/12*(1+Inputs!$B$62)</f>
        <v>91466.6666666667</v>
      </c>
      <c r="AL26" s="40" t="n">
        <f aca="false">SUMPRODUCT((Inputs!$C$66:$C$72&lt;=AL$3)*Inputs!$B$66:$B$72)/12*(1+Inputs!$B$62)</f>
        <v>91466.6666666667</v>
      </c>
      <c r="AN26" s="47" t="n">
        <f aca="false">SUMIF($C$4:$AL$4,1,$C26:$AL26)</f>
        <v>0</v>
      </c>
      <c r="AO26" s="47" t="n">
        <f aca="false">SUMIF($C$4:$AL$4,2,$C26:$AL26)</f>
        <v>414400</v>
      </c>
      <c r="AP26" s="47" t="n">
        <f aca="false">SUMIF($C$4:$AL$4,3,$C26:$AL26)</f>
        <v>991200</v>
      </c>
    </row>
    <row r="27" customFormat="false" ht="15" hidden="false" customHeight="false" outlineLevel="0" collapsed="false">
      <c r="A27" s="11" t="s">
        <v>327</v>
      </c>
      <c r="B27" s="14" t="s">
        <v>165</v>
      </c>
      <c r="C27" s="40" t="n">
        <f aca="false">CHOOSE(C$4,Inputs!$B$75,Inputs!$B$76,Inputs!$B$77)/12</f>
        <v>21666.6666666667</v>
      </c>
      <c r="D27" s="40" t="n">
        <f aca="false">CHOOSE(D$4,Inputs!$B$75,Inputs!$B$76,Inputs!$B$77)/12</f>
        <v>21666.6666666667</v>
      </c>
      <c r="E27" s="40" t="n">
        <f aca="false">CHOOSE(E$4,Inputs!$B$75,Inputs!$B$76,Inputs!$B$77)/12</f>
        <v>21666.6666666667</v>
      </c>
      <c r="F27" s="40" t="n">
        <f aca="false">CHOOSE(F$4,Inputs!$B$75,Inputs!$B$76,Inputs!$B$77)/12</f>
        <v>21666.6666666667</v>
      </c>
      <c r="G27" s="40" t="n">
        <f aca="false">CHOOSE(G$4,Inputs!$B$75,Inputs!$B$76,Inputs!$B$77)/12</f>
        <v>21666.6666666667</v>
      </c>
      <c r="H27" s="40" t="n">
        <f aca="false">CHOOSE(H$4,Inputs!$B$75,Inputs!$B$76,Inputs!$B$77)/12</f>
        <v>21666.6666666667</v>
      </c>
      <c r="I27" s="40" t="n">
        <f aca="false">CHOOSE(I$4,Inputs!$B$75,Inputs!$B$76,Inputs!$B$77)/12</f>
        <v>21666.6666666667</v>
      </c>
      <c r="J27" s="40" t="n">
        <f aca="false">CHOOSE(J$4,Inputs!$B$75,Inputs!$B$76,Inputs!$B$77)/12</f>
        <v>21666.6666666667</v>
      </c>
      <c r="K27" s="40" t="n">
        <f aca="false">CHOOSE(K$4,Inputs!$B$75,Inputs!$B$76,Inputs!$B$77)/12</f>
        <v>21666.6666666667</v>
      </c>
      <c r="L27" s="40" t="n">
        <f aca="false">CHOOSE(L$4,Inputs!$B$75,Inputs!$B$76,Inputs!$B$77)/12</f>
        <v>21666.6666666667</v>
      </c>
      <c r="M27" s="40" t="n">
        <f aca="false">CHOOSE(M$4,Inputs!$B$75,Inputs!$B$76,Inputs!$B$77)/12</f>
        <v>21666.6666666667</v>
      </c>
      <c r="N27" s="40" t="n">
        <f aca="false">CHOOSE(N$4,Inputs!$B$75,Inputs!$B$76,Inputs!$B$77)/12</f>
        <v>21666.6666666667</v>
      </c>
      <c r="O27" s="40" t="n">
        <f aca="false">CHOOSE(O$4,Inputs!$B$75,Inputs!$B$76,Inputs!$B$77)/12</f>
        <v>5000</v>
      </c>
      <c r="P27" s="40" t="n">
        <f aca="false">CHOOSE(P$4,Inputs!$B$75,Inputs!$B$76,Inputs!$B$77)/12</f>
        <v>5000</v>
      </c>
      <c r="Q27" s="40" t="n">
        <f aca="false">CHOOSE(Q$4,Inputs!$B$75,Inputs!$B$76,Inputs!$B$77)/12</f>
        <v>5000</v>
      </c>
      <c r="R27" s="40" t="n">
        <f aca="false">CHOOSE(R$4,Inputs!$B$75,Inputs!$B$76,Inputs!$B$77)/12</f>
        <v>5000</v>
      </c>
      <c r="S27" s="40" t="n">
        <f aca="false">CHOOSE(S$4,Inputs!$B$75,Inputs!$B$76,Inputs!$B$77)/12</f>
        <v>5000</v>
      </c>
      <c r="T27" s="40" t="n">
        <f aca="false">CHOOSE(T$4,Inputs!$B$75,Inputs!$B$76,Inputs!$B$77)/12</f>
        <v>5000</v>
      </c>
      <c r="U27" s="40" t="n">
        <f aca="false">CHOOSE(U$4,Inputs!$B$75,Inputs!$B$76,Inputs!$B$77)/12</f>
        <v>5000</v>
      </c>
      <c r="V27" s="40" t="n">
        <f aca="false">CHOOSE(V$4,Inputs!$B$75,Inputs!$B$76,Inputs!$B$77)/12</f>
        <v>5000</v>
      </c>
      <c r="W27" s="40" t="n">
        <f aca="false">CHOOSE(W$4,Inputs!$B$75,Inputs!$B$76,Inputs!$B$77)/12</f>
        <v>5000</v>
      </c>
      <c r="X27" s="40" t="n">
        <f aca="false">CHOOSE(X$4,Inputs!$B$75,Inputs!$B$76,Inputs!$B$77)/12</f>
        <v>5000</v>
      </c>
      <c r="Y27" s="40" t="n">
        <f aca="false">CHOOSE(Y$4,Inputs!$B$75,Inputs!$B$76,Inputs!$B$77)/12</f>
        <v>5000</v>
      </c>
      <c r="Z27" s="40" t="n">
        <f aca="false">CHOOSE(Z$4,Inputs!$B$75,Inputs!$B$76,Inputs!$B$77)/12</f>
        <v>5000</v>
      </c>
      <c r="AA27" s="40" t="n">
        <f aca="false">CHOOSE(AA$4,Inputs!$B$75,Inputs!$B$76,Inputs!$B$77)/12</f>
        <v>5000</v>
      </c>
      <c r="AB27" s="40" t="n">
        <f aca="false">CHOOSE(AB$4,Inputs!$B$75,Inputs!$B$76,Inputs!$B$77)/12</f>
        <v>5000</v>
      </c>
      <c r="AC27" s="40" t="n">
        <f aca="false">CHOOSE(AC$4,Inputs!$B$75,Inputs!$B$76,Inputs!$B$77)/12</f>
        <v>5000</v>
      </c>
      <c r="AD27" s="40" t="n">
        <f aca="false">CHOOSE(AD$4,Inputs!$B$75,Inputs!$B$76,Inputs!$B$77)/12</f>
        <v>5000</v>
      </c>
      <c r="AE27" s="40" t="n">
        <f aca="false">CHOOSE(AE$4,Inputs!$B$75,Inputs!$B$76,Inputs!$B$77)/12</f>
        <v>5000</v>
      </c>
      <c r="AF27" s="40" t="n">
        <f aca="false">CHOOSE(AF$4,Inputs!$B$75,Inputs!$B$76,Inputs!$B$77)/12</f>
        <v>5000</v>
      </c>
      <c r="AG27" s="40" t="n">
        <f aca="false">CHOOSE(AG$4,Inputs!$B$75,Inputs!$B$76,Inputs!$B$77)/12</f>
        <v>5000</v>
      </c>
      <c r="AH27" s="40" t="n">
        <f aca="false">CHOOSE(AH$4,Inputs!$B$75,Inputs!$B$76,Inputs!$B$77)/12</f>
        <v>5000</v>
      </c>
      <c r="AI27" s="40" t="n">
        <f aca="false">CHOOSE(AI$4,Inputs!$B$75,Inputs!$B$76,Inputs!$B$77)/12</f>
        <v>5000</v>
      </c>
      <c r="AJ27" s="40" t="n">
        <f aca="false">CHOOSE(AJ$4,Inputs!$B$75,Inputs!$B$76,Inputs!$B$77)/12</f>
        <v>5000</v>
      </c>
      <c r="AK27" s="40" t="n">
        <f aca="false">CHOOSE(AK$4,Inputs!$B$75,Inputs!$B$76,Inputs!$B$77)/12</f>
        <v>5000</v>
      </c>
      <c r="AL27" s="40" t="n">
        <f aca="false">CHOOSE(AL$4,Inputs!$B$75,Inputs!$B$76,Inputs!$B$77)/12</f>
        <v>5000</v>
      </c>
      <c r="AN27" s="47" t="n">
        <f aca="false">SUMIF($C$4:$AL$4,1,$C27:$AL27)</f>
        <v>260000</v>
      </c>
      <c r="AO27" s="47" t="n">
        <f aca="false">SUMIF($C$4:$AL$4,2,$C27:$AL27)</f>
        <v>60000</v>
      </c>
      <c r="AP27" s="47" t="n">
        <f aca="false">SUMIF($C$4:$AL$4,3,$C27:$AL27)</f>
        <v>60000</v>
      </c>
    </row>
    <row r="28" customFormat="false" ht="15" hidden="false" customHeight="false" outlineLevel="0" collapsed="false">
      <c r="A28" s="11" t="s">
        <v>328</v>
      </c>
      <c r="B28" s="14" t="s">
        <v>165</v>
      </c>
      <c r="C28" s="40" t="n">
        <f aca="false">Inputs!$B$78+(C7+C9+C16)*Inputs!$B$79</f>
        <v>1000</v>
      </c>
      <c r="D28" s="40" t="n">
        <f aca="false">Inputs!$B$78+(D7+D9+D16)*Inputs!$B$79</f>
        <v>1000</v>
      </c>
      <c r="E28" s="40" t="n">
        <f aca="false">Inputs!$B$78+(E7+E9+E16)*Inputs!$B$79</f>
        <v>1300</v>
      </c>
      <c r="F28" s="40" t="n">
        <f aca="false">Inputs!$B$78+(F7+F9+F16)*Inputs!$B$79</f>
        <v>1300</v>
      </c>
      <c r="G28" s="40" t="n">
        <f aca="false">Inputs!$B$78+(G7+G9+G16)*Inputs!$B$79</f>
        <v>1300</v>
      </c>
      <c r="H28" s="40" t="n">
        <f aca="false">Inputs!$B$78+(H7+H9+H16)*Inputs!$B$79</f>
        <v>1300</v>
      </c>
      <c r="I28" s="40" t="n">
        <f aca="false">Inputs!$B$78+(I7+I9+I16)*Inputs!$B$79</f>
        <v>1447</v>
      </c>
      <c r="J28" s="40" t="n">
        <f aca="false">Inputs!$B$78+(J7+J9+J16)*Inputs!$B$79</f>
        <v>1592.53</v>
      </c>
      <c r="K28" s="40" t="n">
        <f aca="false">Inputs!$B$78+(K7+K9+K16)*Inputs!$B$79</f>
        <v>1736.6047</v>
      </c>
      <c r="L28" s="40" t="n">
        <f aca="false">Inputs!$B$78+(L7+L9+L16)*Inputs!$B$79</f>
        <v>1879.238653</v>
      </c>
      <c r="M28" s="40" t="n">
        <f aca="false">Inputs!$B$78+(M7+M9+M16)*Inputs!$B$79</f>
        <v>2020.44626647</v>
      </c>
      <c r="N28" s="40" t="n">
        <f aca="false">Inputs!$B$78+(N7+N9+N16)*Inputs!$B$79</f>
        <v>2272.7418038053</v>
      </c>
      <c r="O28" s="40" t="n">
        <f aca="false">Inputs!$B$78+(O7+O9+O16)*Inputs!$B$79</f>
        <v>2561.13938576725</v>
      </c>
      <c r="P28" s="40" t="n">
        <f aca="false">Inputs!$B$78+(P7+P9+P16)*Inputs!$B$79</f>
        <v>2847.77799190957</v>
      </c>
      <c r="Q28" s="40" t="n">
        <f aca="false">Inputs!$B$78+(Q7+Q9+Q16)*Inputs!$B$79</f>
        <v>3132.67521199048</v>
      </c>
      <c r="R28" s="40" t="n">
        <f aca="false">Inputs!$B$78+(R7+R9+R16)*Inputs!$B$79</f>
        <v>3415.84845987057</v>
      </c>
      <c r="S28" s="40" t="n">
        <f aca="false">Inputs!$B$78+(S7+S9+S16)*Inputs!$B$79</f>
        <v>3697.31497527187</v>
      </c>
      <c r="T28" s="40" t="n">
        <f aca="false">Inputs!$B$78+(T7+T9+T16)*Inputs!$B$79</f>
        <v>3977.09182551915</v>
      </c>
      <c r="U28" s="40" t="n">
        <f aca="false">Inputs!$B$78+(U7+U9+U16)*Inputs!$B$79</f>
        <v>4255.19590726396</v>
      </c>
      <c r="V28" s="40" t="n">
        <f aca="false">Inputs!$B$78+(V7+V9+V16)*Inputs!$B$79</f>
        <v>4531.64394819132</v>
      </c>
      <c r="W28" s="40" t="n">
        <f aca="false">Inputs!$B$78+(W7+W9+W16)*Inputs!$B$79</f>
        <v>4918.95250870941</v>
      </c>
      <c r="X28" s="40" t="n">
        <f aca="false">Inputs!$B$78+(X7+X9+X16)*Inputs!$B$79</f>
        <v>5304.63798362231</v>
      </c>
      <c r="Y28" s="40" t="n">
        <f aca="false">Inputs!$B$78+(Y7+Y9+Y16)*Inputs!$B$79</f>
        <v>5688.71660378609</v>
      </c>
      <c r="Z28" s="40" t="n">
        <f aca="false">Inputs!$B$78+(Z7+Z9+Z16)*Inputs!$B$79</f>
        <v>6071.20443774823</v>
      </c>
      <c r="AA28" s="40" t="n">
        <f aca="false">Inputs!$B$78+(AA7+AA9+AA16)*Inputs!$B$79</f>
        <v>6489.61739337074</v>
      </c>
      <c r="AB28" s="40" t="n">
        <f aca="false">Inputs!$B$78+(AB7+AB9+AB16)*Inputs!$B$79</f>
        <v>6906.09621943704</v>
      </c>
      <c r="AC28" s="40" t="n">
        <f aca="false">Inputs!$B$78+(AC7+AC9+AC16)*Inputs!$B$79</f>
        <v>7433.16025724267</v>
      </c>
      <c r="AD28" s="40" t="n">
        <f aca="false">Inputs!$B$78+(AD7+AD9+AD16)*Inputs!$B$79</f>
        <v>7958.32865467024</v>
      </c>
      <c r="AE28" s="40" t="n">
        <f aca="false">Inputs!$B$78+(AE7+AE9+AE16)*Inputs!$B$79</f>
        <v>8481.62036812354</v>
      </c>
      <c r="AF28" s="40" t="n">
        <f aca="false">Inputs!$B$78+(AF7+AF9+AF16)*Inputs!$B$79</f>
        <v>9003.0541644423</v>
      </c>
      <c r="AG28" s="40" t="n">
        <f aca="false">Inputs!$B$78+(AG7+AG9+AG16)*Inputs!$B$79</f>
        <v>9522.64862279788</v>
      </c>
      <c r="AH28" s="40" t="n">
        <f aca="false">Inputs!$B$78+(AH7+AH9+AH16)*Inputs!$B$79</f>
        <v>10040.4221365699</v>
      </c>
      <c r="AI28" s="40" t="n">
        <f aca="false">Inputs!$B$78+(AI7+AI9+AI16)*Inputs!$B$79</f>
        <v>10668.8929152042</v>
      </c>
      <c r="AJ28" s="40" t="n">
        <f aca="false">Inputs!$B$78+(AJ7+AJ9+AJ16)*Inputs!$B$79</f>
        <v>11295.5789860522</v>
      </c>
      <c r="AK28" s="40" t="n">
        <f aca="false">Inputs!$B$78+(AK7+AK9+AK16)*Inputs!$B$79</f>
        <v>11920.4981961916</v>
      </c>
      <c r="AL28" s="40" t="n">
        <f aca="false">Inputs!$B$78+(AL7+AL9+AL16)*Inputs!$B$79</f>
        <v>12431.1682142297</v>
      </c>
      <c r="AN28" s="47" t="n">
        <f aca="false">SUMIF($C$4:$AL$4,1,$C28:$AL28)</f>
        <v>18148.5614232753</v>
      </c>
      <c r="AO28" s="47" t="n">
        <f aca="false">SUMIF($C$4:$AL$4,2,$C28:$AL28)</f>
        <v>50402.1992396502</v>
      </c>
      <c r="AP28" s="47" t="n">
        <f aca="false">SUMIF($C$4:$AL$4,3,$C28:$AL28)</f>
        <v>112151.086128332</v>
      </c>
    </row>
    <row r="29" customFormat="false" ht="15" hidden="false" customHeight="false" outlineLevel="0" collapsed="false">
      <c r="A29" s="11" t="s">
        <v>329</v>
      </c>
      <c r="B29" s="14" t="s">
        <v>165</v>
      </c>
      <c r="C29" s="40" t="n">
        <f aca="false">CHOOSE(C$4,Inputs!$B$80,Inputs!$B$81,Inputs!$B$81)/12</f>
        <v>3333.33333333333</v>
      </c>
      <c r="D29" s="40" t="n">
        <f aca="false">CHOOSE(D$4,Inputs!$B$80,Inputs!$B$81,Inputs!$B$81)/12</f>
        <v>3333.33333333333</v>
      </c>
      <c r="E29" s="40" t="n">
        <f aca="false">CHOOSE(E$4,Inputs!$B$80,Inputs!$B$81,Inputs!$B$81)/12</f>
        <v>3333.33333333333</v>
      </c>
      <c r="F29" s="40" t="n">
        <f aca="false">CHOOSE(F$4,Inputs!$B$80,Inputs!$B$81,Inputs!$B$81)/12</f>
        <v>3333.33333333333</v>
      </c>
      <c r="G29" s="40" t="n">
        <f aca="false">CHOOSE(G$4,Inputs!$B$80,Inputs!$B$81,Inputs!$B$81)/12</f>
        <v>3333.33333333333</v>
      </c>
      <c r="H29" s="40" t="n">
        <f aca="false">CHOOSE(H$4,Inputs!$B$80,Inputs!$B$81,Inputs!$B$81)/12</f>
        <v>3333.33333333333</v>
      </c>
      <c r="I29" s="40" t="n">
        <f aca="false">CHOOSE(I$4,Inputs!$B$80,Inputs!$B$81,Inputs!$B$81)/12</f>
        <v>3333.33333333333</v>
      </c>
      <c r="J29" s="40" t="n">
        <f aca="false">CHOOSE(J$4,Inputs!$B$80,Inputs!$B$81,Inputs!$B$81)/12</f>
        <v>3333.33333333333</v>
      </c>
      <c r="K29" s="40" t="n">
        <f aca="false">CHOOSE(K$4,Inputs!$B$80,Inputs!$B$81,Inputs!$B$81)/12</f>
        <v>3333.33333333333</v>
      </c>
      <c r="L29" s="40" t="n">
        <f aca="false">CHOOSE(L$4,Inputs!$B$80,Inputs!$B$81,Inputs!$B$81)/12</f>
        <v>3333.33333333333</v>
      </c>
      <c r="M29" s="40" t="n">
        <f aca="false">CHOOSE(M$4,Inputs!$B$80,Inputs!$B$81,Inputs!$B$81)/12</f>
        <v>3333.33333333333</v>
      </c>
      <c r="N29" s="40" t="n">
        <f aca="false">CHOOSE(N$4,Inputs!$B$80,Inputs!$B$81,Inputs!$B$81)/12</f>
        <v>3333.33333333333</v>
      </c>
      <c r="O29" s="40" t="n">
        <f aca="false">CHOOSE(O$4,Inputs!$B$80,Inputs!$B$81,Inputs!$B$81)/12</f>
        <v>1666.66666666667</v>
      </c>
      <c r="P29" s="40" t="n">
        <f aca="false">CHOOSE(P$4,Inputs!$B$80,Inputs!$B$81,Inputs!$B$81)/12</f>
        <v>1666.66666666667</v>
      </c>
      <c r="Q29" s="40" t="n">
        <f aca="false">CHOOSE(Q$4,Inputs!$B$80,Inputs!$B$81,Inputs!$B$81)/12</f>
        <v>1666.66666666667</v>
      </c>
      <c r="R29" s="40" t="n">
        <f aca="false">CHOOSE(R$4,Inputs!$B$80,Inputs!$B$81,Inputs!$B$81)/12</f>
        <v>1666.66666666667</v>
      </c>
      <c r="S29" s="40" t="n">
        <f aca="false">CHOOSE(S$4,Inputs!$B$80,Inputs!$B$81,Inputs!$B$81)/12</f>
        <v>1666.66666666667</v>
      </c>
      <c r="T29" s="40" t="n">
        <f aca="false">CHOOSE(T$4,Inputs!$B$80,Inputs!$B$81,Inputs!$B$81)/12</f>
        <v>1666.66666666667</v>
      </c>
      <c r="U29" s="40" t="n">
        <f aca="false">CHOOSE(U$4,Inputs!$B$80,Inputs!$B$81,Inputs!$B$81)/12</f>
        <v>1666.66666666667</v>
      </c>
      <c r="V29" s="40" t="n">
        <f aca="false">CHOOSE(V$4,Inputs!$B$80,Inputs!$B$81,Inputs!$B$81)/12</f>
        <v>1666.66666666667</v>
      </c>
      <c r="W29" s="40" t="n">
        <f aca="false">CHOOSE(W$4,Inputs!$B$80,Inputs!$B$81,Inputs!$B$81)/12</f>
        <v>1666.66666666667</v>
      </c>
      <c r="X29" s="40" t="n">
        <f aca="false">CHOOSE(X$4,Inputs!$B$80,Inputs!$B$81,Inputs!$B$81)/12</f>
        <v>1666.66666666667</v>
      </c>
      <c r="Y29" s="40" t="n">
        <f aca="false">CHOOSE(Y$4,Inputs!$B$80,Inputs!$B$81,Inputs!$B$81)/12</f>
        <v>1666.66666666667</v>
      </c>
      <c r="Z29" s="40" t="n">
        <f aca="false">CHOOSE(Z$4,Inputs!$B$80,Inputs!$B$81,Inputs!$B$81)/12</f>
        <v>1666.66666666667</v>
      </c>
      <c r="AA29" s="40" t="n">
        <f aca="false">CHOOSE(AA$4,Inputs!$B$80,Inputs!$B$81,Inputs!$B$81)/12</f>
        <v>1666.66666666667</v>
      </c>
      <c r="AB29" s="40" t="n">
        <f aca="false">CHOOSE(AB$4,Inputs!$B$80,Inputs!$B$81,Inputs!$B$81)/12</f>
        <v>1666.66666666667</v>
      </c>
      <c r="AC29" s="40" t="n">
        <f aca="false">CHOOSE(AC$4,Inputs!$B$80,Inputs!$B$81,Inputs!$B$81)/12</f>
        <v>1666.66666666667</v>
      </c>
      <c r="AD29" s="40" t="n">
        <f aca="false">CHOOSE(AD$4,Inputs!$B$80,Inputs!$B$81,Inputs!$B$81)/12</f>
        <v>1666.66666666667</v>
      </c>
      <c r="AE29" s="40" t="n">
        <f aca="false">CHOOSE(AE$4,Inputs!$B$80,Inputs!$B$81,Inputs!$B$81)/12</f>
        <v>1666.66666666667</v>
      </c>
      <c r="AF29" s="40" t="n">
        <f aca="false">CHOOSE(AF$4,Inputs!$B$80,Inputs!$B$81,Inputs!$B$81)/12</f>
        <v>1666.66666666667</v>
      </c>
      <c r="AG29" s="40" t="n">
        <f aca="false">CHOOSE(AG$4,Inputs!$B$80,Inputs!$B$81,Inputs!$B$81)/12</f>
        <v>1666.66666666667</v>
      </c>
      <c r="AH29" s="40" t="n">
        <f aca="false">CHOOSE(AH$4,Inputs!$B$80,Inputs!$B$81,Inputs!$B$81)/12</f>
        <v>1666.66666666667</v>
      </c>
      <c r="AI29" s="40" t="n">
        <f aca="false">CHOOSE(AI$4,Inputs!$B$80,Inputs!$B$81,Inputs!$B$81)/12</f>
        <v>1666.66666666667</v>
      </c>
      <c r="AJ29" s="40" t="n">
        <f aca="false">CHOOSE(AJ$4,Inputs!$B$80,Inputs!$B$81,Inputs!$B$81)/12</f>
        <v>1666.66666666667</v>
      </c>
      <c r="AK29" s="40" t="n">
        <f aca="false">CHOOSE(AK$4,Inputs!$B$80,Inputs!$B$81,Inputs!$B$81)/12</f>
        <v>1666.66666666667</v>
      </c>
      <c r="AL29" s="40" t="n">
        <f aca="false">CHOOSE(AL$4,Inputs!$B$80,Inputs!$B$81,Inputs!$B$81)/12</f>
        <v>1666.66666666667</v>
      </c>
      <c r="AN29" s="47" t="n">
        <f aca="false">SUMIF($C$4:$AL$4,1,$C29:$AL29)</f>
        <v>40000</v>
      </c>
      <c r="AO29" s="47" t="n">
        <f aca="false">SUMIF($C$4:$AL$4,2,$C29:$AL29)</f>
        <v>20000</v>
      </c>
      <c r="AP29" s="47" t="n">
        <f aca="false">SUMIF($C$4:$AL$4,3,$C29:$AL29)</f>
        <v>20000</v>
      </c>
    </row>
    <row r="30" customFormat="false" ht="15" hidden="false" customHeight="false" outlineLevel="0" collapsed="false">
      <c r="A30" s="11" t="s">
        <v>330</v>
      </c>
      <c r="B30" s="14" t="s">
        <v>165</v>
      </c>
      <c r="C30" s="40" t="n">
        <f aca="false">CHOOSE(C$4,Inputs!$B$82,Inputs!$B$83,Inputs!$B$84)/12</f>
        <v>833.333333333333</v>
      </c>
      <c r="D30" s="40" t="n">
        <f aca="false">CHOOSE(D$4,Inputs!$B$82,Inputs!$B$83,Inputs!$B$84)/12</f>
        <v>833.333333333333</v>
      </c>
      <c r="E30" s="40" t="n">
        <f aca="false">CHOOSE(E$4,Inputs!$B$82,Inputs!$B$83,Inputs!$B$84)/12</f>
        <v>833.333333333333</v>
      </c>
      <c r="F30" s="40" t="n">
        <f aca="false">CHOOSE(F$4,Inputs!$B$82,Inputs!$B$83,Inputs!$B$84)/12</f>
        <v>833.333333333333</v>
      </c>
      <c r="G30" s="40" t="n">
        <f aca="false">CHOOSE(G$4,Inputs!$B$82,Inputs!$B$83,Inputs!$B$84)/12</f>
        <v>833.333333333333</v>
      </c>
      <c r="H30" s="40" t="n">
        <f aca="false">CHOOSE(H$4,Inputs!$B$82,Inputs!$B$83,Inputs!$B$84)/12</f>
        <v>833.333333333333</v>
      </c>
      <c r="I30" s="40" t="n">
        <f aca="false">CHOOSE(I$4,Inputs!$B$82,Inputs!$B$83,Inputs!$B$84)/12</f>
        <v>833.333333333333</v>
      </c>
      <c r="J30" s="40" t="n">
        <f aca="false">CHOOSE(J$4,Inputs!$B$82,Inputs!$B$83,Inputs!$B$84)/12</f>
        <v>833.333333333333</v>
      </c>
      <c r="K30" s="40" t="n">
        <f aca="false">CHOOSE(K$4,Inputs!$B$82,Inputs!$B$83,Inputs!$B$84)/12</f>
        <v>833.333333333333</v>
      </c>
      <c r="L30" s="40" t="n">
        <f aca="false">CHOOSE(L$4,Inputs!$B$82,Inputs!$B$83,Inputs!$B$84)/12</f>
        <v>833.333333333333</v>
      </c>
      <c r="M30" s="40" t="n">
        <f aca="false">CHOOSE(M$4,Inputs!$B$82,Inputs!$B$83,Inputs!$B$84)/12</f>
        <v>833.333333333333</v>
      </c>
      <c r="N30" s="40" t="n">
        <f aca="false">CHOOSE(N$4,Inputs!$B$82,Inputs!$B$83,Inputs!$B$84)/12</f>
        <v>833.333333333333</v>
      </c>
      <c r="O30" s="40" t="n">
        <f aca="false">CHOOSE(O$4,Inputs!$B$82,Inputs!$B$83,Inputs!$B$84)/12</f>
        <v>2500</v>
      </c>
      <c r="P30" s="40" t="n">
        <f aca="false">CHOOSE(P$4,Inputs!$B$82,Inputs!$B$83,Inputs!$B$84)/12</f>
        <v>2500</v>
      </c>
      <c r="Q30" s="40" t="n">
        <f aca="false">CHOOSE(Q$4,Inputs!$B$82,Inputs!$B$83,Inputs!$B$84)/12</f>
        <v>2500</v>
      </c>
      <c r="R30" s="40" t="n">
        <f aca="false">CHOOSE(R$4,Inputs!$B$82,Inputs!$B$83,Inputs!$B$84)/12</f>
        <v>2500</v>
      </c>
      <c r="S30" s="40" t="n">
        <f aca="false">CHOOSE(S$4,Inputs!$B$82,Inputs!$B$83,Inputs!$B$84)/12</f>
        <v>2500</v>
      </c>
      <c r="T30" s="40" t="n">
        <f aca="false">CHOOSE(T$4,Inputs!$B$82,Inputs!$B$83,Inputs!$B$84)/12</f>
        <v>2500</v>
      </c>
      <c r="U30" s="40" t="n">
        <f aca="false">CHOOSE(U$4,Inputs!$B$82,Inputs!$B$83,Inputs!$B$84)/12</f>
        <v>2500</v>
      </c>
      <c r="V30" s="40" t="n">
        <f aca="false">CHOOSE(V$4,Inputs!$B$82,Inputs!$B$83,Inputs!$B$84)/12</f>
        <v>2500</v>
      </c>
      <c r="W30" s="40" t="n">
        <f aca="false">CHOOSE(W$4,Inputs!$B$82,Inputs!$B$83,Inputs!$B$84)/12</f>
        <v>2500</v>
      </c>
      <c r="X30" s="40" t="n">
        <f aca="false">CHOOSE(X$4,Inputs!$B$82,Inputs!$B$83,Inputs!$B$84)/12</f>
        <v>2500</v>
      </c>
      <c r="Y30" s="40" t="n">
        <f aca="false">CHOOSE(Y$4,Inputs!$B$82,Inputs!$B$83,Inputs!$B$84)/12</f>
        <v>2500</v>
      </c>
      <c r="Z30" s="40" t="n">
        <f aca="false">CHOOSE(Z$4,Inputs!$B$82,Inputs!$B$83,Inputs!$B$84)/12</f>
        <v>2500</v>
      </c>
      <c r="AA30" s="40" t="n">
        <f aca="false">CHOOSE(AA$4,Inputs!$B$82,Inputs!$B$83,Inputs!$B$84)/12</f>
        <v>3750</v>
      </c>
      <c r="AB30" s="40" t="n">
        <f aca="false">CHOOSE(AB$4,Inputs!$B$82,Inputs!$B$83,Inputs!$B$84)/12</f>
        <v>3750</v>
      </c>
      <c r="AC30" s="40" t="n">
        <f aca="false">CHOOSE(AC$4,Inputs!$B$82,Inputs!$B$83,Inputs!$B$84)/12</f>
        <v>3750</v>
      </c>
      <c r="AD30" s="40" t="n">
        <f aca="false">CHOOSE(AD$4,Inputs!$B$82,Inputs!$B$83,Inputs!$B$84)/12</f>
        <v>3750</v>
      </c>
      <c r="AE30" s="40" t="n">
        <f aca="false">CHOOSE(AE$4,Inputs!$B$82,Inputs!$B$83,Inputs!$B$84)/12</f>
        <v>3750</v>
      </c>
      <c r="AF30" s="40" t="n">
        <f aca="false">CHOOSE(AF$4,Inputs!$B$82,Inputs!$B$83,Inputs!$B$84)/12</f>
        <v>3750</v>
      </c>
      <c r="AG30" s="40" t="n">
        <f aca="false">CHOOSE(AG$4,Inputs!$B$82,Inputs!$B$83,Inputs!$B$84)/12</f>
        <v>3750</v>
      </c>
      <c r="AH30" s="40" t="n">
        <f aca="false">CHOOSE(AH$4,Inputs!$B$82,Inputs!$B$83,Inputs!$B$84)/12</f>
        <v>3750</v>
      </c>
      <c r="AI30" s="40" t="n">
        <f aca="false">CHOOSE(AI$4,Inputs!$B$82,Inputs!$B$83,Inputs!$B$84)/12</f>
        <v>3750</v>
      </c>
      <c r="AJ30" s="40" t="n">
        <f aca="false">CHOOSE(AJ$4,Inputs!$B$82,Inputs!$B$83,Inputs!$B$84)/12</f>
        <v>3750</v>
      </c>
      <c r="AK30" s="40" t="n">
        <f aca="false">CHOOSE(AK$4,Inputs!$B$82,Inputs!$B$83,Inputs!$B$84)/12</f>
        <v>3750</v>
      </c>
      <c r="AL30" s="40" t="n">
        <f aca="false">CHOOSE(AL$4,Inputs!$B$82,Inputs!$B$83,Inputs!$B$84)/12</f>
        <v>3750</v>
      </c>
      <c r="AN30" s="47" t="n">
        <f aca="false">SUMIF($C$4:$AL$4,1,$C30:$AL30)</f>
        <v>10000</v>
      </c>
      <c r="AO30" s="47" t="n">
        <f aca="false">SUMIF($C$4:$AL$4,2,$C30:$AL30)</f>
        <v>30000</v>
      </c>
      <c r="AP30" s="47" t="n">
        <f aca="false">SUMIF($C$4:$AL$4,3,$C30:$AL30)</f>
        <v>45000</v>
      </c>
    </row>
    <row r="31" customFormat="false" ht="15" hidden="false" customHeight="false" outlineLevel="0" collapsed="false">
      <c r="A31" s="11" t="s">
        <v>331</v>
      </c>
      <c r="B31" s="14" t="s">
        <v>165</v>
      </c>
      <c r="C31" s="40" t="n">
        <f aca="false">CHOOSE(C$4,Inputs!$B$85,Inputs!$B$86,Inputs!$B$87)/12</f>
        <v>3333.33333333333</v>
      </c>
      <c r="D31" s="40" t="n">
        <f aca="false">CHOOSE(D$4,Inputs!$B$85,Inputs!$B$86,Inputs!$B$87)/12</f>
        <v>3333.33333333333</v>
      </c>
      <c r="E31" s="40" t="n">
        <f aca="false">CHOOSE(E$4,Inputs!$B$85,Inputs!$B$86,Inputs!$B$87)/12</f>
        <v>3333.33333333333</v>
      </c>
      <c r="F31" s="40" t="n">
        <f aca="false">CHOOSE(F$4,Inputs!$B$85,Inputs!$B$86,Inputs!$B$87)/12</f>
        <v>3333.33333333333</v>
      </c>
      <c r="G31" s="40" t="n">
        <f aca="false">CHOOSE(G$4,Inputs!$B$85,Inputs!$B$86,Inputs!$B$87)/12</f>
        <v>3333.33333333333</v>
      </c>
      <c r="H31" s="40" t="n">
        <f aca="false">CHOOSE(H$4,Inputs!$B$85,Inputs!$B$86,Inputs!$B$87)/12</f>
        <v>3333.33333333333</v>
      </c>
      <c r="I31" s="40" t="n">
        <f aca="false">CHOOSE(I$4,Inputs!$B$85,Inputs!$B$86,Inputs!$B$87)/12</f>
        <v>3333.33333333333</v>
      </c>
      <c r="J31" s="40" t="n">
        <f aca="false">CHOOSE(J$4,Inputs!$B$85,Inputs!$B$86,Inputs!$B$87)/12</f>
        <v>3333.33333333333</v>
      </c>
      <c r="K31" s="40" t="n">
        <f aca="false">CHOOSE(K$4,Inputs!$B$85,Inputs!$B$86,Inputs!$B$87)/12</f>
        <v>3333.33333333333</v>
      </c>
      <c r="L31" s="40" t="n">
        <f aca="false">CHOOSE(L$4,Inputs!$B$85,Inputs!$B$86,Inputs!$B$87)/12</f>
        <v>3333.33333333333</v>
      </c>
      <c r="M31" s="40" t="n">
        <f aca="false">CHOOSE(M$4,Inputs!$B$85,Inputs!$B$86,Inputs!$B$87)/12</f>
        <v>3333.33333333333</v>
      </c>
      <c r="N31" s="40" t="n">
        <f aca="false">CHOOSE(N$4,Inputs!$B$85,Inputs!$B$86,Inputs!$B$87)/12</f>
        <v>3333.33333333333</v>
      </c>
      <c r="O31" s="40" t="n">
        <f aca="false">CHOOSE(O$4,Inputs!$B$85,Inputs!$B$86,Inputs!$B$87)/12</f>
        <v>6666.66666666667</v>
      </c>
      <c r="P31" s="40" t="n">
        <f aca="false">CHOOSE(P$4,Inputs!$B$85,Inputs!$B$86,Inputs!$B$87)/12</f>
        <v>6666.66666666667</v>
      </c>
      <c r="Q31" s="40" t="n">
        <f aca="false">CHOOSE(Q$4,Inputs!$B$85,Inputs!$B$86,Inputs!$B$87)/12</f>
        <v>6666.66666666667</v>
      </c>
      <c r="R31" s="40" t="n">
        <f aca="false">CHOOSE(R$4,Inputs!$B$85,Inputs!$B$86,Inputs!$B$87)/12</f>
        <v>6666.66666666667</v>
      </c>
      <c r="S31" s="40" t="n">
        <f aca="false">CHOOSE(S$4,Inputs!$B$85,Inputs!$B$86,Inputs!$B$87)/12</f>
        <v>6666.66666666667</v>
      </c>
      <c r="T31" s="40" t="n">
        <f aca="false">CHOOSE(T$4,Inputs!$B$85,Inputs!$B$86,Inputs!$B$87)/12</f>
        <v>6666.66666666667</v>
      </c>
      <c r="U31" s="40" t="n">
        <f aca="false">CHOOSE(U$4,Inputs!$B$85,Inputs!$B$86,Inputs!$B$87)/12</f>
        <v>6666.66666666667</v>
      </c>
      <c r="V31" s="40" t="n">
        <f aca="false">CHOOSE(V$4,Inputs!$B$85,Inputs!$B$86,Inputs!$B$87)/12</f>
        <v>6666.66666666667</v>
      </c>
      <c r="W31" s="40" t="n">
        <f aca="false">CHOOSE(W$4,Inputs!$B$85,Inputs!$B$86,Inputs!$B$87)/12</f>
        <v>6666.66666666667</v>
      </c>
      <c r="X31" s="40" t="n">
        <f aca="false">CHOOSE(X$4,Inputs!$B$85,Inputs!$B$86,Inputs!$B$87)/12</f>
        <v>6666.66666666667</v>
      </c>
      <c r="Y31" s="40" t="n">
        <f aca="false">CHOOSE(Y$4,Inputs!$B$85,Inputs!$B$86,Inputs!$B$87)/12</f>
        <v>6666.66666666667</v>
      </c>
      <c r="Z31" s="40" t="n">
        <f aca="false">CHOOSE(Z$4,Inputs!$B$85,Inputs!$B$86,Inputs!$B$87)/12</f>
        <v>6666.66666666667</v>
      </c>
      <c r="AA31" s="40" t="n">
        <f aca="false">CHOOSE(AA$4,Inputs!$B$85,Inputs!$B$86,Inputs!$B$87)/12</f>
        <v>12500</v>
      </c>
      <c r="AB31" s="40" t="n">
        <f aca="false">CHOOSE(AB$4,Inputs!$B$85,Inputs!$B$86,Inputs!$B$87)/12</f>
        <v>12500</v>
      </c>
      <c r="AC31" s="40" t="n">
        <f aca="false">CHOOSE(AC$4,Inputs!$B$85,Inputs!$B$86,Inputs!$B$87)/12</f>
        <v>12500</v>
      </c>
      <c r="AD31" s="40" t="n">
        <f aca="false">CHOOSE(AD$4,Inputs!$B$85,Inputs!$B$86,Inputs!$B$87)/12</f>
        <v>12500</v>
      </c>
      <c r="AE31" s="40" t="n">
        <f aca="false">CHOOSE(AE$4,Inputs!$B$85,Inputs!$B$86,Inputs!$B$87)/12</f>
        <v>12500</v>
      </c>
      <c r="AF31" s="40" t="n">
        <f aca="false">CHOOSE(AF$4,Inputs!$B$85,Inputs!$B$86,Inputs!$B$87)/12</f>
        <v>12500</v>
      </c>
      <c r="AG31" s="40" t="n">
        <f aca="false">CHOOSE(AG$4,Inputs!$B$85,Inputs!$B$86,Inputs!$B$87)/12</f>
        <v>12500</v>
      </c>
      <c r="AH31" s="40" t="n">
        <f aca="false">CHOOSE(AH$4,Inputs!$B$85,Inputs!$B$86,Inputs!$B$87)/12</f>
        <v>12500</v>
      </c>
      <c r="AI31" s="40" t="n">
        <f aca="false">CHOOSE(AI$4,Inputs!$B$85,Inputs!$B$86,Inputs!$B$87)/12</f>
        <v>12500</v>
      </c>
      <c r="AJ31" s="40" t="n">
        <f aca="false">CHOOSE(AJ$4,Inputs!$B$85,Inputs!$B$86,Inputs!$B$87)/12</f>
        <v>12500</v>
      </c>
      <c r="AK31" s="40" t="n">
        <f aca="false">CHOOSE(AK$4,Inputs!$B$85,Inputs!$B$86,Inputs!$B$87)/12</f>
        <v>12500</v>
      </c>
      <c r="AL31" s="40" t="n">
        <f aca="false">CHOOSE(AL$4,Inputs!$B$85,Inputs!$B$86,Inputs!$B$87)/12</f>
        <v>12500</v>
      </c>
      <c r="AN31" s="47" t="n">
        <f aca="false">SUMIF($C$4:$AL$4,1,$C31:$AL31)</f>
        <v>40000</v>
      </c>
      <c r="AO31" s="47" t="n">
        <f aca="false">SUMIF($C$4:$AL$4,2,$C31:$AL31)</f>
        <v>80000</v>
      </c>
      <c r="AP31" s="47" t="n">
        <f aca="false">SUMIF($C$4:$AL$4,3,$C31:$AL31)</f>
        <v>150000</v>
      </c>
    </row>
    <row r="32" customFormat="false" ht="15" hidden="false" customHeight="false" outlineLevel="0" collapsed="false">
      <c r="A32" s="11" t="s">
        <v>332</v>
      </c>
      <c r="B32" s="14" t="s">
        <v>165</v>
      </c>
      <c r="C32" s="40" t="n">
        <f aca="false">CHOOSE(C$4,Inputs!$B$88,Inputs!$B$89,Inputs!$B$90)/12</f>
        <v>2500</v>
      </c>
      <c r="D32" s="40" t="n">
        <f aca="false">CHOOSE(D$4,Inputs!$B$88,Inputs!$B$89,Inputs!$B$90)/12</f>
        <v>2500</v>
      </c>
      <c r="E32" s="40" t="n">
        <f aca="false">CHOOSE(E$4,Inputs!$B$88,Inputs!$B$89,Inputs!$B$90)/12</f>
        <v>2500</v>
      </c>
      <c r="F32" s="40" t="n">
        <f aca="false">CHOOSE(F$4,Inputs!$B$88,Inputs!$B$89,Inputs!$B$90)/12</f>
        <v>2500</v>
      </c>
      <c r="G32" s="40" t="n">
        <f aca="false">CHOOSE(G$4,Inputs!$B$88,Inputs!$B$89,Inputs!$B$90)/12</f>
        <v>2500</v>
      </c>
      <c r="H32" s="40" t="n">
        <f aca="false">CHOOSE(H$4,Inputs!$B$88,Inputs!$B$89,Inputs!$B$90)/12</f>
        <v>2500</v>
      </c>
      <c r="I32" s="40" t="n">
        <f aca="false">CHOOSE(I$4,Inputs!$B$88,Inputs!$B$89,Inputs!$B$90)/12</f>
        <v>2500</v>
      </c>
      <c r="J32" s="40" t="n">
        <f aca="false">CHOOSE(J$4,Inputs!$B$88,Inputs!$B$89,Inputs!$B$90)/12</f>
        <v>2500</v>
      </c>
      <c r="K32" s="40" t="n">
        <f aca="false">CHOOSE(K$4,Inputs!$B$88,Inputs!$B$89,Inputs!$B$90)/12</f>
        <v>2500</v>
      </c>
      <c r="L32" s="40" t="n">
        <f aca="false">CHOOSE(L$4,Inputs!$B$88,Inputs!$B$89,Inputs!$B$90)/12</f>
        <v>2500</v>
      </c>
      <c r="M32" s="40" t="n">
        <f aca="false">CHOOSE(M$4,Inputs!$B$88,Inputs!$B$89,Inputs!$B$90)/12</f>
        <v>2500</v>
      </c>
      <c r="N32" s="40" t="n">
        <f aca="false">CHOOSE(N$4,Inputs!$B$88,Inputs!$B$89,Inputs!$B$90)/12</f>
        <v>2500</v>
      </c>
      <c r="O32" s="40" t="n">
        <f aca="false">CHOOSE(O$4,Inputs!$B$88,Inputs!$B$89,Inputs!$B$90)/12</f>
        <v>3333.33333333333</v>
      </c>
      <c r="P32" s="40" t="n">
        <f aca="false">CHOOSE(P$4,Inputs!$B$88,Inputs!$B$89,Inputs!$B$90)/12</f>
        <v>3333.33333333333</v>
      </c>
      <c r="Q32" s="40" t="n">
        <f aca="false">CHOOSE(Q$4,Inputs!$B$88,Inputs!$B$89,Inputs!$B$90)/12</f>
        <v>3333.33333333333</v>
      </c>
      <c r="R32" s="40" t="n">
        <f aca="false">CHOOSE(R$4,Inputs!$B$88,Inputs!$B$89,Inputs!$B$90)/12</f>
        <v>3333.33333333333</v>
      </c>
      <c r="S32" s="40" t="n">
        <f aca="false">CHOOSE(S$4,Inputs!$B$88,Inputs!$B$89,Inputs!$B$90)/12</f>
        <v>3333.33333333333</v>
      </c>
      <c r="T32" s="40" t="n">
        <f aca="false">CHOOSE(T$4,Inputs!$B$88,Inputs!$B$89,Inputs!$B$90)/12</f>
        <v>3333.33333333333</v>
      </c>
      <c r="U32" s="40" t="n">
        <f aca="false">CHOOSE(U$4,Inputs!$B$88,Inputs!$B$89,Inputs!$B$90)/12</f>
        <v>3333.33333333333</v>
      </c>
      <c r="V32" s="40" t="n">
        <f aca="false">CHOOSE(V$4,Inputs!$B$88,Inputs!$B$89,Inputs!$B$90)/12</f>
        <v>3333.33333333333</v>
      </c>
      <c r="W32" s="40" t="n">
        <f aca="false">CHOOSE(W$4,Inputs!$B$88,Inputs!$B$89,Inputs!$B$90)/12</f>
        <v>3333.33333333333</v>
      </c>
      <c r="X32" s="40" t="n">
        <f aca="false">CHOOSE(X$4,Inputs!$B$88,Inputs!$B$89,Inputs!$B$90)/12</f>
        <v>3333.33333333333</v>
      </c>
      <c r="Y32" s="40" t="n">
        <f aca="false">CHOOSE(Y$4,Inputs!$B$88,Inputs!$B$89,Inputs!$B$90)/12</f>
        <v>3333.33333333333</v>
      </c>
      <c r="Z32" s="40" t="n">
        <f aca="false">CHOOSE(Z$4,Inputs!$B$88,Inputs!$B$89,Inputs!$B$90)/12</f>
        <v>3333.33333333333</v>
      </c>
      <c r="AA32" s="40" t="n">
        <f aca="false">CHOOSE(AA$4,Inputs!$B$88,Inputs!$B$89,Inputs!$B$90)/12</f>
        <v>5000</v>
      </c>
      <c r="AB32" s="40" t="n">
        <f aca="false">CHOOSE(AB$4,Inputs!$B$88,Inputs!$B$89,Inputs!$B$90)/12</f>
        <v>5000</v>
      </c>
      <c r="AC32" s="40" t="n">
        <f aca="false">CHOOSE(AC$4,Inputs!$B$88,Inputs!$B$89,Inputs!$B$90)/12</f>
        <v>5000</v>
      </c>
      <c r="AD32" s="40" t="n">
        <f aca="false">CHOOSE(AD$4,Inputs!$B$88,Inputs!$B$89,Inputs!$B$90)/12</f>
        <v>5000</v>
      </c>
      <c r="AE32" s="40" t="n">
        <f aca="false">CHOOSE(AE$4,Inputs!$B$88,Inputs!$B$89,Inputs!$B$90)/12</f>
        <v>5000</v>
      </c>
      <c r="AF32" s="40" t="n">
        <f aca="false">CHOOSE(AF$4,Inputs!$B$88,Inputs!$B$89,Inputs!$B$90)/12</f>
        <v>5000</v>
      </c>
      <c r="AG32" s="40" t="n">
        <f aca="false">CHOOSE(AG$4,Inputs!$B$88,Inputs!$B$89,Inputs!$B$90)/12</f>
        <v>5000</v>
      </c>
      <c r="AH32" s="40" t="n">
        <f aca="false">CHOOSE(AH$4,Inputs!$B$88,Inputs!$B$89,Inputs!$B$90)/12</f>
        <v>5000</v>
      </c>
      <c r="AI32" s="40" t="n">
        <f aca="false">CHOOSE(AI$4,Inputs!$B$88,Inputs!$B$89,Inputs!$B$90)/12</f>
        <v>5000</v>
      </c>
      <c r="AJ32" s="40" t="n">
        <f aca="false">CHOOSE(AJ$4,Inputs!$B$88,Inputs!$B$89,Inputs!$B$90)/12</f>
        <v>5000</v>
      </c>
      <c r="AK32" s="40" t="n">
        <f aca="false">CHOOSE(AK$4,Inputs!$B$88,Inputs!$B$89,Inputs!$B$90)/12</f>
        <v>5000</v>
      </c>
      <c r="AL32" s="40" t="n">
        <f aca="false">CHOOSE(AL$4,Inputs!$B$88,Inputs!$B$89,Inputs!$B$90)/12</f>
        <v>5000</v>
      </c>
      <c r="AN32" s="47" t="n">
        <f aca="false">SUMIF($C$4:$AL$4,1,$C32:$AL32)</f>
        <v>30000</v>
      </c>
      <c r="AO32" s="47" t="n">
        <f aca="false">SUMIF($C$4:$AL$4,2,$C32:$AL32)</f>
        <v>40000</v>
      </c>
      <c r="AP32" s="47" t="n">
        <f aca="false">SUMIF($C$4:$AL$4,3,$C32:$AL32)</f>
        <v>60000</v>
      </c>
    </row>
    <row r="33" customFormat="false" ht="15" hidden="false" customHeight="false" outlineLevel="0" collapsed="false">
      <c r="A33" s="11" t="s">
        <v>207</v>
      </c>
      <c r="B33" s="14" t="s">
        <v>165</v>
      </c>
      <c r="C33" s="40" t="n">
        <f aca="false">IF(C$4=1,Inputs!$B$91/12,Inputs!$B$92*SUM(C25:C32))</f>
        <v>3000</v>
      </c>
      <c r="D33" s="40" t="n">
        <f aca="false">IF(D$4=1,Inputs!$B$91/12,Inputs!$B$92*SUM(D25:D32))</f>
        <v>3000</v>
      </c>
      <c r="E33" s="40" t="n">
        <f aca="false">IF(E$4=1,Inputs!$B$91/12,Inputs!$B$92*SUM(E25:E32))</f>
        <v>3000</v>
      </c>
      <c r="F33" s="40" t="n">
        <f aca="false">IF(F$4=1,Inputs!$B$91/12,Inputs!$B$92*SUM(F25:F32))</f>
        <v>3000</v>
      </c>
      <c r="G33" s="40" t="n">
        <f aca="false">IF(G$4=1,Inputs!$B$91/12,Inputs!$B$92*SUM(G25:G32))</f>
        <v>3000</v>
      </c>
      <c r="H33" s="40" t="n">
        <f aca="false">IF(H$4=1,Inputs!$B$91/12,Inputs!$B$92*SUM(H25:H32))</f>
        <v>3000</v>
      </c>
      <c r="I33" s="40" t="n">
        <f aca="false">IF(I$4=1,Inputs!$B$91/12,Inputs!$B$92*SUM(I25:I32))</f>
        <v>3000</v>
      </c>
      <c r="J33" s="40" t="n">
        <f aca="false">IF(J$4=1,Inputs!$B$91/12,Inputs!$B$92*SUM(J25:J32))</f>
        <v>3000</v>
      </c>
      <c r="K33" s="40" t="n">
        <f aca="false">IF(K$4=1,Inputs!$B$91/12,Inputs!$B$92*SUM(K25:K32))</f>
        <v>3000</v>
      </c>
      <c r="L33" s="40" t="n">
        <f aca="false">IF(L$4=1,Inputs!$B$91/12,Inputs!$B$92*SUM(L25:L32))</f>
        <v>3000</v>
      </c>
      <c r="M33" s="40" t="n">
        <f aca="false">IF(M$4=1,Inputs!$B$91/12,Inputs!$B$92*SUM(M25:M32))</f>
        <v>3000</v>
      </c>
      <c r="N33" s="40" t="n">
        <f aca="false">IF(N$4=1,Inputs!$B$91/12,Inputs!$B$92*SUM(N25:N32))</f>
        <v>3000</v>
      </c>
      <c r="O33" s="40" t="n">
        <f aca="false">IF(O$4=1,Inputs!$B$91/12,Inputs!$B$92*SUM(O25:O32))</f>
        <v>2393.05696928836</v>
      </c>
      <c r="P33" s="40" t="n">
        <f aca="false">IF(P$4=1,Inputs!$B$91/12,Inputs!$B$92*SUM(P25:P32))</f>
        <v>2407.38889959548</v>
      </c>
      <c r="Q33" s="40" t="n">
        <f aca="false">IF(Q$4=1,Inputs!$B$91/12,Inputs!$B$92*SUM(Q25:Q32))</f>
        <v>2421.63376059952</v>
      </c>
      <c r="R33" s="40" t="n">
        <f aca="false">IF(R$4=1,Inputs!$B$91/12,Inputs!$B$92*SUM(R25:R32))</f>
        <v>4489.12575632686</v>
      </c>
      <c r="S33" s="40" t="n">
        <f aca="false">IF(S$4=1,Inputs!$B$91/12,Inputs!$B$92*SUM(S25:S32))</f>
        <v>4503.19908209693</v>
      </c>
      <c r="T33" s="40" t="n">
        <f aca="false">IF(T$4=1,Inputs!$B$91/12,Inputs!$B$92*SUM(T25:T32))</f>
        <v>4517.18792460929</v>
      </c>
      <c r="U33" s="40" t="n">
        <f aca="false">IF(U$4=1,Inputs!$B$91/12,Inputs!$B$92*SUM(U25:U32))</f>
        <v>4531.09312869653</v>
      </c>
      <c r="V33" s="40" t="n">
        <f aca="false">IF(V$4=1,Inputs!$B$91/12,Inputs!$B$92*SUM(V25:V32))</f>
        <v>4544.9155307429</v>
      </c>
      <c r="W33" s="40" t="n">
        <f aca="false">IF(W$4=1,Inputs!$B$91/12,Inputs!$B$92*SUM(W25:W32))</f>
        <v>4564.2809587688</v>
      </c>
      <c r="X33" s="40" t="n">
        <f aca="false">IF(X$4=1,Inputs!$B$91/12,Inputs!$B$92*SUM(X25:X32))</f>
        <v>5330.23189918112</v>
      </c>
      <c r="Y33" s="40" t="n">
        <f aca="false">IF(Y$4=1,Inputs!$B$91/12,Inputs!$B$92*SUM(Y25:Y32))</f>
        <v>5349.4358301893</v>
      </c>
      <c r="Z33" s="40" t="n">
        <f aca="false">IF(Z$4=1,Inputs!$B$91/12,Inputs!$B$92*SUM(Z25:Z32))</f>
        <v>5368.56022188741</v>
      </c>
      <c r="AA33" s="40" t="n">
        <f aca="false">IF(AA$4=1,Inputs!$B$91/12,Inputs!$B$92*SUM(AA25:AA32))</f>
        <v>6340.31420300187</v>
      </c>
      <c r="AB33" s="40" t="n">
        <f aca="false">IF(AB$4=1,Inputs!$B$91/12,Inputs!$B$92*SUM(AB25:AB32))</f>
        <v>6361.13814430519</v>
      </c>
      <c r="AC33" s="40" t="n">
        <f aca="false">IF(AC$4=1,Inputs!$B$91/12,Inputs!$B$92*SUM(AC25:AC32))</f>
        <v>6387.49134619547</v>
      </c>
      <c r="AD33" s="40" t="n">
        <f aca="false">IF(AD$4=1,Inputs!$B$91/12,Inputs!$B$92*SUM(AD25:AD32))</f>
        <v>7160.41643273351</v>
      </c>
      <c r="AE33" s="40" t="n">
        <f aca="false">IF(AE$4=1,Inputs!$B$91/12,Inputs!$B$92*SUM(AE25:AE32))</f>
        <v>7186.58101840618</v>
      </c>
      <c r="AF33" s="40" t="n">
        <f aca="false">IF(AF$4=1,Inputs!$B$91/12,Inputs!$B$92*SUM(AF25:AF32))</f>
        <v>7212.65270822212</v>
      </c>
      <c r="AG33" s="40" t="n">
        <f aca="false">IF(AG$4=1,Inputs!$B$91/12,Inputs!$B$92*SUM(AG25:AG32))</f>
        <v>7751.96576447323</v>
      </c>
      <c r="AH33" s="40" t="n">
        <f aca="false">IF(AH$4=1,Inputs!$B$91/12,Inputs!$B$92*SUM(AH25:AH32))</f>
        <v>7777.85444016183</v>
      </c>
      <c r="AI33" s="40" t="n">
        <f aca="false">IF(AI$4=1,Inputs!$B$91/12,Inputs!$B$92*SUM(AI25:AI32))</f>
        <v>7809.27797909355</v>
      </c>
      <c r="AJ33" s="40" t="n">
        <f aca="false">IF(AJ$4=1,Inputs!$B$91/12,Inputs!$B$92*SUM(AJ25:AJ32))</f>
        <v>7840.61228263594</v>
      </c>
      <c r="AK33" s="40" t="n">
        <f aca="false">IF(AK$4=1,Inputs!$B$91/12,Inputs!$B$92*SUM(AK25:AK32))</f>
        <v>7871.85824314292</v>
      </c>
      <c r="AL33" s="40" t="n">
        <f aca="false">IF(AL$4=1,Inputs!$B$91/12,Inputs!$B$92*SUM(AL25:AL32))</f>
        <v>7897.39174404482</v>
      </c>
      <c r="AN33" s="47" t="n">
        <f aca="false">SUMIF($C$4:$AL$4,1,$C33:$AL33)</f>
        <v>36000</v>
      </c>
      <c r="AO33" s="47" t="n">
        <f aca="false">SUMIF($C$4:$AL$4,2,$C33:$AL33)</f>
        <v>50420.1099619825</v>
      </c>
      <c r="AP33" s="47" t="n">
        <f aca="false">SUMIF($C$4:$AL$4,3,$C33:$AL33)</f>
        <v>87597.5543064166</v>
      </c>
    </row>
    <row r="34" customFormat="false" ht="15" hidden="false" customHeight="false" outlineLevel="0" collapsed="false">
      <c r="A34" s="23" t="s">
        <v>208</v>
      </c>
      <c r="B34" s="14" t="s">
        <v>165</v>
      </c>
      <c r="C34" s="49" t="n">
        <f aca="false">SUM(C25:C33)</f>
        <v>61800</v>
      </c>
      <c r="D34" s="49" t="n">
        <f aca="false">SUM(D25:D33)</f>
        <v>61800</v>
      </c>
      <c r="E34" s="49" t="n">
        <f aca="false">SUM(E25:E33)</f>
        <v>62100</v>
      </c>
      <c r="F34" s="49" t="n">
        <f aca="false">SUM(F25:F33)</f>
        <v>62100</v>
      </c>
      <c r="G34" s="49" t="n">
        <f aca="false">SUM(G25:G33)</f>
        <v>62100</v>
      </c>
      <c r="H34" s="49" t="n">
        <f aca="false">SUM(H25:H33)</f>
        <v>62100</v>
      </c>
      <c r="I34" s="49" t="n">
        <f aca="false">SUM(I25:I33)</f>
        <v>62247</v>
      </c>
      <c r="J34" s="49" t="n">
        <f aca="false">SUM(J25:J33)</f>
        <v>62392.53</v>
      </c>
      <c r="K34" s="49" t="n">
        <f aca="false">SUM(K25:K33)</f>
        <v>62536.6047</v>
      </c>
      <c r="L34" s="49" t="n">
        <f aca="false">SUM(L25:L33)</f>
        <v>62679.238653</v>
      </c>
      <c r="M34" s="49" t="n">
        <f aca="false">SUM(M25:M33)</f>
        <v>62820.44626647</v>
      </c>
      <c r="N34" s="49" t="n">
        <f aca="false">SUM(N25:N33)</f>
        <v>63072.7418038053</v>
      </c>
      <c r="O34" s="49" t="n">
        <f aca="false">SUM(O25:O33)</f>
        <v>50254.1963550556</v>
      </c>
      <c r="P34" s="49" t="n">
        <f aca="false">SUM(P25:P33)</f>
        <v>50555.1668915051</v>
      </c>
      <c r="Q34" s="49" t="n">
        <f aca="false">SUM(Q25:Q33)</f>
        <v>50854.30897259</v>
      </c>
      <c r="R34" s="49" t="n">
        <f aca="false">SUM(R25:R33)</f>
        <v>94271.6408828641</v>
      </c>
      <c r="S34" s="49" t="n">
        <f aca="false">SUM(S25:S33)</f>
        <v>94567.1807240355</v>
      </c>
      <c r="T34" s="49" t="n">
        <f aca="false">SUM(T25:T33)</f>
        <v>94860.9464167951</v>
      </c>
      <c r="U34" s="49" t="n">
        <f aca="false">SUM(U25:U33)</f>
        <v>95152.9557026272</v>
      </c>
      <c r="V34" s="49" t="n">
        <f aca="false">SUM(V25:V33)</f>
        <v>95443.2261456009</v>
      </c>
      <c r="W34" s="49" t="n">
        <f aca="false">SUM(W25:W33)</f>
        <v>95849.9001341449</v>
      </c>
      <c r="X34" s="49" t="n">
        <f aca="false">SUM(X25:X33)</f>
        <v>111934.869882803</v>
      </c>
      <c r="Y34" s="49" t="n">
        <f aca="false">SUM(Y25:Y33)</f>
        <v>112338.152433975</v>
      </c>
      <c r="Z34" s="49" t="n">
        <f aca="false">SUM(Z25:Z33)</f>
        <v>112739.764659636</v>
      </c>
      <c r="AA34" s="49" t="n">
        <f aca="false">SUM(AA25:AA33)</f>
        <v>133146.598263039</v>
      </c>
      <c r="AB34" s="49" t="n">
        <f aca="false">SUM(AB25:AB33)</f>
        <v>133583.901030409</v>
      </c>
      <c r="AC34" s="49" t="n">
        <f aca="false">SUM(AC25:AC33)</f>
        <v>134137.318270105</v>
      </c>
      <c r="AD34" s="49" t="n">
        <f aca="false">SUM(AD25:AD33)</f>
        <v>150368.745087404</v>
      </c>
      <c r="AE34" s="49" t="n">
        <f aca="false">SUM(AE25:AE33)</f>
        <v>150918.20138653</v>
      </c>
      <c r="AF34" s="49" t="n">
        <f aca="false">SUM(AF25:AF33)</f>
        <v>151465.706872664</v>
      </c>
      <c r="AG34" s="49" t="n">
        <f aca="false">SUM(AG25:AG33)</f>
        <v>162791.281053938</v>
      </c>
      <c r="AH34" s="49" t="n">
        <f aca="false">SUM(AH25:AH33)</f>
        <v>163334.943243398</v>
      </c>
      <c r="AI34" s="49" t="n">
        <f aca="false">SUM(AI25:AI33)</f>
        <v>163994.837560964</v>
      </c>
      <c r="AJ34" s="49" t="n">
        <f aca="false">SUM(AJ25:AJ33)</f>
        <v>164652.857935355</v>
      </c>
      <c r="AK34" s="49" t="n">
        <f aca="false">SUM(AK25:AK33)</f>
        <v>165309.023106001</v>
      </c>
      <c r="AL34" s="49" t="n">
        <f aca="false">SUM(AL25:AL33)</f>
        <v>165845.226624941</v>
      </c>
      <c r="AN34" s="50" t="n">
        <f aca="false">SUMIF($C$4:$AL$4,1,$C34:$AL34)</f>
        <v>747748.561423275</v>
      </c>
      <c r="AO34" s="50" t="n">
        <f aca="false">SUMIF($C$4:$AL$4,2,$C34:$AL34)</f>
        <v>1058822.30920163</v>
      </c>
      <c r="AP34" s="50" t="n">
        <f aca="false">SUMIF($C$4:$AL$4,3,$C34:$AL34)</f>
        <v>1839548.64043475</v>
      </c>
    </row>
    <row r="36" customFormat="false" ht="15" hidden="false" customHeight="false" outlineLevel="0" collapsed="false">
      <c r="A36" s="23" t="s">
        <v>210</v>
      </c>
      <c r="B36" s="14" t="s">
        <v>165</v>
      </c>
      <c r="C36" s="51" t="n">
        <f aca="false">C20-C34</f>
        <v>-61800</v>
      </c>
      <c r="D36" s="51" t="n">
        <f aca="false">D20-D34</f>
        <v>-61800</v>
      </c>
      <c r="E36" s="51" t="n">
        <f aca="false">E20-E34</f>
        <v>-62100</v>
      </c>
      <c r="F36" s="51" t="n">
        <f aca="false">F20-F34</f>
        <v>-62100</v>
      </c>
      <c r="G36" s="51" t="n">
        <f aca="false">G20-G34</f>
        <v>-62100</v>
      </c>
      <c r="H36" s="51" t="n">
        <f aca="false">H20-H34</f>
        <v>-55100</v>
      </c>
      <c r="I36" s="51" t="n">
        <f aca="false">I20-I34</f>
        <v>-51817</v>
      </c>
      <c r="J36" s="51" t="n">
        <f aca="false">J20-J34</f>
        <v>-48566.83</v>
      </c>
      <c r="K36" s="51" t="n">
        <f aca="false">K20-K34</f>
        <v>-45349.1617</v>
      </c>
      <c r="L36" s="51" t="n">
        <f aca="false">L20-L34</f>
        <v>-42163.670083</v>
      </c>
      <c r="M36" s="51" t="n">
        <f aca="false">M20-M34</f>
        <v>-39010.03338217</v>
      </c>
      <c r="N36" s="51" t="n">
        <f aca="false">N20-N34</f>
        <v>-32719.1830483483</v>
      </c>
      <c r="O36" s="51" t="n">
        <f aca="false">O20-O34</f>
        <v>-12515.1106871532</v>
      </c>
      <c r="P36" s="51" t="n">
        <f aca="false">P20-P34</f>
        <v>-5471.59708028165</v>
      </c>
      <c r="Q36" s="51" t="n">
        <f aca="false">Q20-Q34</f>
        <v>1533.11264052115</v>
      </c>
      <c r="R36" s="51" t="n">
        <f aca="false">R20-R34</f>
        <v>-34620.593485884</v>
      </c>
      <c r="S36" s="51" t="n">
        <f aca="false">S20-S34</f>
        <v>-27692.3313010252</v>
      </c>
      <c r="T36" s="51" t="n">
        <f aca="false">T20-T34</f>
        <v>-20801.720488015</v>
      </c>
      <c r="U36" s="51" t="n">
        <f aca="false">U20-U34</f>
        <v>-13948.3845331348</v>
      </c>
      <c r="V36" s="51" t="n">
        <f aca="false">V20-V34</f>
        <v>-7131.95068780346</v>
      </c>
      <c r="W36" s="51" t="n">
        <f aca="false">W20-W34</f>
        <v>2811.07506907456</v>
      </c>
      <c r="X36" s="51" t="n">
        <f aca="false">X20-X34</f>
        <v>-2962.06693161618</v>
      </c>
      <c r="Y36" s="51" t="n">
        <f aca="false">Y20-Y34</f>
        <v>6908.98498769998</v>
      </c>
      <c r="Z36" s="51" t="n">
        <f aca="false">Z20-Z34</f>
        <v>16744.588887823</v>
      </c>
      <c r="AA36" s="51" t="n">
        <f aca="false">AA20-AA34</f>
        <v>7413.22424894475</v>
      </c>
      <c r="AB36" s="51" t="n">
        <f aca="false">AB20-AB34</f>
        <v>18006.2607564553</v>
      </c>
      <c r="AC36" s="51" t="n">
        <f aca="false">AC20-AC34</f>
        <v>31719.7543988908</v>
      </c>
      <c r="AD36" s="51" t="n">
        <f aca="false">AD20-AD34</f>
        <v>29711.0068549019</v>
      </c>
      <c r="AE36" s="51" t="n">
        <f aca="false">AE20-AE34</f>
        <v>43340.4405363528</v>
      </c>
      <c r="AF36" s="51" t="n">
        <f aca="false">AF20-AF34</f>
        <v>56928.4736309893</v>
      </c>
      <c r="AG36" s="51" t="n">
        <f aca="false">AG20-AG34</f>
        <v>59695.5201446794</v>
      </c>
      <c r="AH36" s="51" t="n">
        <f aca="false">AH20-AH34</f>
        <v>73201.9899432326</v>
      </c>
      <c r="AI36" s="51" t="n">
        <f aca="false">AI20-AI34</f>
        <v>89831.4137938003</v>
      </c>
      <c r="AJ36" s="51" t="n">
        <f aca="false">AJ20-AJ34</f>
        <v>106421.068405862</v>
      </c>
      <c r="AK36" s="51" t="n">
        <f aca="false">AK20-AK34</f>
        <v>122971.351471804</v>
      </c>
      <c r="AL36" s="51" t="n">
        <f aca="false">AL20-AL34</f>
        <v>136319.531707086</v>
      </c>
      <c r="AN36" s="52" t="n">
        <f aca="false">SUMIF($C$4:$AL$4,1,$C36:$AL36)</f>
        <v>-624625.878213518</v>
      </c>
      <c r="AO36" s="52" t="n">
        <f aca="false">SUMIF($C$4:$AL$4,2,$C36:$AL36)</f>
        <v>-97145.9936097948</v>
      </c>
      <c r="AP36" s="52" t="n">
        <f aca="false">SUMIF($C$4:$AL$4,3,$C36:$AL36)</f>
        <v>775560.035892999</v>
      </c>
    </row>
    <row r="38" customFormat="false" ht="15" hidden="false" customHeight="false" outlineLevel="0" collapsed="false">
      <c r="A38" s="9" t="s">
        <v>333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customFormat="false" ht="15" hidden="false" customHeight="false" outlineLevel="0" collapsed="false">
      <c r="A39" s="11" t="s">
        <v>334</v>
      </c>
      <c r="B39" s="14" t="s">
        <v>165</v>
      </c>
      <c r="C39" s="40" t="n">
        <f aca="false">IF(C$3=1,Inputs!$B$95,0)</f>
        <v>750000</v>
      </c>
      <c r="D39" s="40" t="n">
        <f aca="false">IF(D$3=1,Inputs!$B$95,0)</f>
        <v>0</v>
      </c>
      <c r="E39" s="40" t="n">
        <f aca="false">IF(E$3=1,Inputs!$B$95,0)</f>
        <v>0</v>
      </c>
      <c r="F39" s="40" t="n">
        <f aca="false">IF(F$3=1,Inputs!$B$95,0)</f>
        <v>0</v>
      </c>
      <c r="G39" s="40" t="n">
        <f aca="false">IF(G$3=1,Inputs!$B$95,0)</f>
        <v>0</v>
      </c>
      <c r="H39" s="40" t="n">
        <f aca="false">IF(H$3=1,Inputs!$B$95,0)</f>
        <v>0</v>
      </c>
      <c r="I39" s="40" t="n">
        <f aca="false">IF(I$3=1,Inputs!$B$95,0)</f>
        <v>0</v>
      </c>
      <c r="J39" s="40" t="n">
        <f aca="false">IF(J$3=1,Inputs!$B$95,0)</f>
        <v>0</v>
      </c>
      <c r="K39" s="40" t="n">
        <f aca="false">IF(K$3=1,Inputs!$B$95,0)</f>
        <v>0</v>
      </c>
      <c r="L39" s="40" t="n">
        <f aca="false">IF(L$3=1,Inputs!$B$95,0)</f>
        <v>0</v>
      </c>
      <c r="M39" s="40" t="n">
        <f aca="false">IF(M$3=1,Inputs!$B$95,0)</f>
        <v>0</v>
      </c>
      <c r="N39" s="40" t="n">
        <f aca="false">IF(N$3=1,Inputs!$B$95,0)</f>
        <v>0</v>
      </c>
      <c r="O39" s="40" t="n">
        <f aca="false">IF(O$3=1,Inputs!$B$95,0)</f>
        <v>0</v>
      </c>
      <c r="P39" s="40" t="n">
        <f aca="false">IF(P$3=1,Inputs!$B$95,0)</f>
        <v>0</v>
      </c>
      <c r="Q39" s="40" t="n">
        <f aca="false">IF(Q$3=1,Inputs!$B$95,0)</f>
        <v>0</v>
      </c>
      <c r="R39" s="40" t="n">
        <f aca="false">IF(R$3=1,Inputs!$B$95,0)</f>
        <v>0</v>
      </c>
      <c r="S39" s="40" t="n">
        <f aca="false">IF(S$3=1,Inputs!$B$95,0)</f>
        <v>0</v>
      </c>
      <c r="T39" s="40" t="n">
        <f aca="false">IF(T$3=1,Inputs!$B$95,0)</f>
        <v>0</v>
      </c>
      <c r="U39" s="40" t="n">
        <f aca="false">IF(U$3=1,Inputs!$B$95,0)</f>
        <v>0</v>
      </c>
      <c r="V39" s="40" t="n">
        <f aca="false">IF(V$3=1,Inputs!$B$95,0)</f>
        <v>0</v>
      </c>
      <c r="W39" s="40" t="n">
        <f aca="false">IF(W$3=1,Inputs!$B$95,0)</f>
        <v>0</v>
      </c>
      <c r="X39" s="40" t="n">
        <f aca="false">IF(X$3=1,Inputs!$B$95,0)</f>
        <v>0</v>
      </c>
      <c r="Y39" s="40" t="n">
        <f aca="false">IF(Y$3=1,Inputs!$B$95,0)</f>
        <v>0</v>
      </c>
      <c r="Z39" s="40" t="n">
        <f aca="false">IF(Z$3=1,Inputs!$B$95,0)</f>
        <v>0</v>
      </c>
      <c r="AA39" s="40" t="n">
        <f aca="false">IF(AA$3=1,Inputs!$B$95,0)</f>
        <v>0</v>
      </c>
      <c r="AB39" s="40" t="n">
        <f aca="false">IF(AB$3=1,Inputs!$B$95,0)</f>
        <v>0</v>
      </c>
      <c r="AC39" s="40" t="n">
        <f aca="false">IF(AC$3=1,Inputs!$B$95,0)</f>
        <v>0</v>
      </c>
      <c r="AD39" s="40" t="n">
        <f aca="false">IF(AD$3=1,Inputs!$B$95,0)</f>
        <v>0</v>
      </c>
      <c r="AE39" s="40" t="n">
        <f aca="false">IF(AE$3=1,Inputs!$B$95,0)</f>
        <v>0</v>
      </c>
      <c r="AF39" s="40" t="n">
        <f aca="false">IF(AF$3=1,Inputs!$B$95,0)</f>
        <v>0</v>
      </c>
      <c r="AG39" s="40" t="n">
        <f aca="false">IF(AG$3=1,Inputs!$B$95,0)</f>
        <v>0</v>
      </c>
      <c r="AH39" s="40" t="n">
        <f aca="false">IF(AH$3=1,Inputs!$B$95,0)</f>
        <v>0</v>
      </c>
      <c r="AI39" s="40" t="n">
        <f aca="false">IF(AI$3=1,Inputs!$B$95,0)</f>
        <v>0</v>
      </c>
      <c r="AJ39" s="40" t="n">
        <f aca="false">IF(AJ$3=1,Inputs!$B$95,0)</f>
        <v>0</v>
      </c>
      <c r="AK39" s="40" t="n">
        <f aca="false">IF(AK$3=1,Inputs!$B$95,0)</f>
        <v>0</v>
      </c>
      <c r="AL39" s="40" t="n">
        <f aca="false">IF(AL$3=1,Inputs!$B$95,0)</f>
        <v>0</v>
      </c>
      <c r="AN39" s="47" t="n">
        <f aca="false">SUMIF($C$4:$AL$4,1,$C39:$AL39)</f>
        <v>750000</v>
      </c>
      <c r="AO39" s="47" t="n">
        <f aca="false">SUMIF($C$4:$AL$4,2,$C39:$AL39)</f>
        <v>0</v>
      </c>
      <c r="AP39" s="47" t="n">
        <f aca="false">SUMIF($C$4:$AL$4,3,$C39:$AL39)</f>
        <v>0</v>
      </c>
    </row>
    <row r="40" customFormat="false" ht="15" hidden="false" customHeight="false" outlineLevel="0" collapsed="false">
      <c r="A40" s="23" t="s">
        <v>335</v>
      </c>
      <c r="B40" s="14" t="s">
        <v>165</v>
      </c>
      <c r="C40" s="51" t="n">
        <f aca="false">C36+C39</f>
        <v>688200</v>
      </c>
      <c r="D40" s="51" t="n">
        <f aca="false">C40+D36+D39</f>
        <v>626400</v>
      </c>
      <c r="E40" s="51" t="n">
        <f aca="false">D40+E36+E39</f>
        <v>564300</v>
      </c>
      <c r="F40" s="51" t="n">
        <f aca="false">E40+F36+F39</f>
        <v>502200</v>
      </c>
      <c r="G40" s="51" t="n">
        <f aca="false">F40+G36+G39</f>
        <v>440100</v>
      </c>
      <c r="H40" s="51" t="n">
        <f aca="false">G40+H36+H39</f>
        <v>385000</v>
      </c>
      <c r="I40" s="51" t="n">
        <f aca="false">H40+I36+I39</f>
        <v>333183</v>
      </c>
      <c r="J40" s="51" t="n">
        <f aca="false">I40+J36+J39</f>
        <v>284616.17</v>
      </c>
      <c r="K40" s="51" t="n">
        <f aca="false">J40+K36+K39</f>
        <v>239267.0083</v>
      </c>
      <c r="L40" s="51" t="n">
        <f aca="false">K40+L36+L39</f>
        <v>197103.338217</v>
      </c>
      <c r="M40" s="51" t="n">
        <f aca="false">L40+M36+M39</f>
        <v>158093.30483483</v>
      </c>
      <c r="N40" s="51" t="n">
        <f aca="false">M40+N36+N39</f>
        <v>125374.121786482</v>
      </c>
      <c r="O40" s="51" t="n">
        <f aca="false">N40+O36+O39</f>
        <v>112859.011099328</v>
      </c>
      <c r="P40" s="51" t="n">
        <f aca="false">O40+P36+P39</f>
        <v>107387.414019047</v>
      </c>
      <c r="Q40" s="51" t="n">
        <f aca="false">P40+Q36+Q39</f>
        <v>108920.526659568</v>
      </c>
      <c r="R40" s="51" t="n">
        <f aca="false">Q40+R36+R39</f>
        <v>74299.933173684</v>
      </c>
      <c r="S40" s="51" t="n">
        <f aca="false">R40+S36+S39</f>
        <v>46607.6018726588</v>
      </c>
      <c r="T40" s="51" t="n">
        <f aca="false">S40+T36+T39</f>
        <v>25805.8813846438</v>
      </c>
      <c r="U40" s="51" t="n">
        <f aca="false">T40+U36+U39</f>
        <v>11857.496851509</v>
      </c>
      <c r="V40" s="51" t="n">
        <f aca="false">U40+V36+V39</f>
        <v>4725.54616370554</v>
      </c>
      <c r="W40" s="51" t="n">
        <f aca="false">V40+W36+W39</f>
        <v>7536.6212327801</v>
      </c>
      <c r="X40" s="51" t="n">
        <f aca="false">W40+X36+X39</f>
        <v>4574.55430116392</v>
      </c>
      <c r="Y40" s="51" t="n">
        <f aca="false">X40+Y36+Y39</f>
        <v>11483.5392888639</v>
      </c>
      <c r="Z40" s="51" t="n">
        <f aca="false">Y40+Z36+Z39</f>
        <v>28228.1281766869</v>
      </c>
      <c r="AA40" s="51" t="n">
        <f aca="false">Z40+AA36+AA39</f>
        <v>35641.3524256316</v>
      </c>
      <c r="AB40" s="51" t="n">
        <f aca="false">AA40+AB36+AB39</f>
        <v>53647.613182087</v>
      </c>
      <c r="AC40" s="51" t="n">
        <f aca="false">AB40+AC36+AC39</f>
        <v>85367.3675809778</v>
      </c>
      <c r="AD40" s="51" t="n">
        <f aca="false">AC40+AD36+AD39</f>
        <v>115078.37443588</v>
      </c>
      <c r="AE40" s="51" t="n">
        <f aca="false">AD40+AE36+AE39</f>
        <v>158418.814972232</v>
      </c>
      <c r="AF40" s="51" t="n">
        <f aca="false">AE40+AF36+AF39</f>
        <v>215347.288603222</v>
      </c>
      <c r="AG40" s="51" t="n">
        <f aca="false">AF40+AG36+AG39</f>
        <v>275042.808747901</v>
      </c>
      <c r="AH40" s="51" t="n">
        <f aca="false">AG40+AH36+AH39</f>
        <v>348244.798691134</v>
      </c>
      <c r="AI40" s="51" t="n">
        <f aca="false">AH40+AI36+AI39</f>
        <v>438076.212484934</v>
      </c>
      <c r="AJ40" s="51" t="n">
        <f aca="false">AI40+AJ36+AJ39</f>
        <v>544497.280890796</v>
      </c>
      <c r="AK40" s="51" t="n">
        <f aca="false">AJ40+AK36+AK39</f>
        <v>667468.6323626</v>
      </c>
      <c r="AL40" s="51" t="n">
        <f aca="false">AK40+AL36+AL39</f>
        <v>803788.164069685</v>
      </c>
      <c r="AN40" s="52" t="n">
        <f aca="false">INDEX($C40:$AL40,1,12)</f>
        <v>125374.121786482</v>
      </c>
      <c r="AO40" s="52" t="n">
        <f aca="false">INDEX($C40:$AL40,1,24)</f>
        <v>28228.1281766869</v>
      </c>
      <c r="AP40" s="52" t="n">
        <f aca="false">INDEX($C40:$AL40,1,36)</f>
        <v>803788.164069685</v>
      </c>
    </row>
    <row r="41" customFormat="false" ht="15" hidden="false" customHeight="false" outlineLevel="0" collapsed="false">
      <c r="A41" s="11" t="s">
        <v>188</v>
      </c>
      <c r="B41" s="14" t="s">
        <v>165</v>
      </c>
      <c r="C41" s="40" t="n">
        <f aca="false">IF(C$3=Inputs!$B$97,Inputs!$B$96,0)</f>
        <v>0</v>
      </c>
      <c r="D41" s="40" t="n">
        <f aca="false">IF(D$3=Inputs!$B$97,Inputs!$B$96,0)</f>
        <v>0</v>
      </c>
      <c r="E41" s="40" t="n">
        <f aca="false">IF(E$3=Inputs!$B$97,Inputs!$B$96,0)</f>
        <v>0</v>
      </c>
      <c r="F41" s="40" t="n">
        <f aca="false">IF(F$3=Inputs!$B$97,Inputs!$B$96,0)</f>
        <v>0</v>
      </c>
      <c r="G41" s="40" t="n">
        <f aca="false">IF(G$3=Inputs!$B$97,Inputs!$B$96,0)</f>
        <v>0</v>
      </c>
      <c r="H41" s="40" t="n">
        <f aca="false">IF(H$3=Inputs!$B$97,Inputs!$B$96,0)</f>
        <v>0</v>
      </c>
      <c r="I41" s="40" t="n">
        <f aca="false">IF(I$3=Inputs!$B$97,Inputs!$B$96,0)</f>
        <v>0</v>
      </c>
      <c r="J41" s="40" t="n">
        <f aca="false">IF(J$3=Inputs!$B$97,Inputs!$B$96,0)</f>
        <v>0</v>
      </c>
      <c r="K41" s="40" t="n">
        <f aca="false">IF(K$3=Inputs!$B$97,Inputs!$B$96,0)</f>
        <v>0</v>
      </c>
      <c r="L41" s="40" t="n">
        <f aca="false">IF(L$3=Inputs!$B$97,Inputs!$B$96,0)</f>
        <v>0</v>
      </c>
      <c r="M41" s="40" t="n">
        <f aca="false">IF(M$3=Inputs!$B$97,Inputs!$B$96,0)</f>
        <v>0</v>
      </c>
      <c r="N41" s="40" t="n">
        <f aca="false">IF(N$3=Inputs!$B$97,Inputs!$B$96,0)</f>
        <v>0</v>
      </c>
      <c r="O41" s="40" t="n">
        <f aca="false">IF(O$3=Inputs!$B$97,Inputs!$B$96,0)</f>
        <v>0</v>
      </c>
      <c r="P41" s="40" t="n">
        <f aca="false">IF(P$3=Inputs!$B$97,Inputs!$B$96,0)</f>
        <v>0</v>
      </c>
      <c r="Q41" s="40" t="n">
        <f aca="false">IF(Q$3=Inputs!$B$97,Inputs!$B$96,0)</f>
        <v>3000000</v>
      </c>
      <c r="R41" s="40" t="n">
        <f aca="false">IF(R$3=Inputs!$B$97,Inputs!$B$96,0)</f>
        <v>0</v>
      </c>
      <c r="S41" s="40" t="n">
        <f aca="false">IF(S$3=Inputs!$B$97,Inputs!$B$96,0)</f>
        <v>0</v>
      </c>
      <c r="T41" s="40" t="n">
        <f aca="false">IF(T$3=Inputs!$B$97,Inputs!$B$96,0)</f>
        <v>0</v>
      </c>
      <c r="U41" s="40" t="n">
        <f aca="false">IF(U$3=Inputs!$B$97,Inputs!$B$96,0)</f>
        <v>0</v>
      </c>
      <c r="V41" s="40" t="n">
        <f aca="false">IF(V$3=Inputs!$B$97,Inputs!$B$96,0)</f>
        <v>0</v>
      </c>
      <c r="W41" s="40" t="n">
        <f aca="false">IF(W$3=Inputs!$B$97,Inputs!$B$96,0)</f>
        <v>0</v>
      </c>
      <c r="X41" s="40" t="n">
        <f aca="false">IF(X$3=Inputs!$B$97,Inputs!$B$96,0)</f>
        <v>0</v>
      </c>
      <c r="Y41" s="40" t="n">
        <f aca="false">IF(Y$3=Inputs!$B$97,Inputs!$B$96,0)</f>
        <v>0</v>
      </c>
      <c r="Z41" s="40" t="n">
        <f aca="false">IF(Z$3=Inputs!$B$97,Inputs!$B$96,0)</f>
        <v>0</v>
      </c>
      <c r="AA41" s="40" t="n">
        <f aca="false">IF(AA$3=Inputs!$B$97,Inputs!$B$96,0)</f>
        <v>0</v>
      </c>
      <c r="AB41" s="40" t="n">
        <f aca="false">IF(AB$3=Inputs!$B$97,Inputs!$B$96,0)</f>
        <v>0</v>
      </c>
      <c r="AC41" s="40" t="n">
        <f aca="false">IF(AC$3=Inputs!$B$97,Inputs!$B$96,0)</f>
        <v>0</v>
      </c>
      <c r="AD41" s="40" t="n">
        <f aca="false">IF(AD$3=Inputs!$B$97,Inputs!$B$96,0)</f>
        <v>0</v>
      </c>
      <c r="AE41" s="40" t="n">
        <f aca="false">IF(AE$3=Inputs!$B$97,Inputs!$B$96,0)</f>
        <v>0</v>
      </c>
      <c r="AF41" s="40" t="n">
        <f aca="false">IF(AF$3=Inputs!$B$97,Inputs!$B$96,0)</f>
        <v>0</v>
      </c>
      <c r="AG41" s="40" t="n">
        <f aca="false">IF(AG$3=Inputs!$B$97,Inputs!$B$96,0)</f>
        <v>0</v>
      </c>
      <c r="AH41" s="40" t="n">
        <f aca="false">IF(AH$3=Inputs!$B$97,Inputs!$B$96,0)</f>
        <v>0</v>
      </c>
      <c r="AI41" s="40" t="n">
        <f aca="false">IF(AI$3=Inputs!$B$97,Inputs!$B$96,0)</f>
        <v>0</v>
      </c>
      <c r="AJ41" s="40" t="n">
        <f aca="false">IF(AJ$3=Inputs!$B$97,Inputs!$B$96,0)</f>
        <v>0</v>
      </c>
      <c r="AK41" s="40" t="n">
        <f aca="false">IF(AK$3=Inputs!$B$97,Inputs!$B$96,0)</f>
        <v>0</v>
      </c>
      <c r="AL41" s="40" t="n">
        <f aca="false">IF(AL$3=Inputs!$B$97,Inputs!$B$96,0)</f>
        <v>0</v>
      </c>
      <c r="AN41" s="47" t="n">
        <f aca="false">SUMIF($C$4:$AL$4,1,$C41:$AL41)</f>
        <v>0</v>
      </c>
      <c r="AO41" s="47" t="n">
        <f aca="false">SUMIF($C$4:$AL$4,2,$C41:$AL41)</f>
        <v>3000000</v>
      </c>
      <c r="AP41" s="47" t="n">
        <f aca="false">SUMIF($C$4:$AL$4,3,$C41:$AL41)</f>
        <v>0</v>
      </c>
    </row>
    <row r="42" customFormat="false" ht="15" hidden="false" customHeight="false" outlineLevel="0" collapsed="false">
      <c r="A42" s="11" t="s">
        <v>336</v>
      </c>
      <c r="B42" s="14" t="s">
        <v>165</v>
      </c>
      <c r="C42" s="40" t="n">
        <f aca="false">C36+C39+C41</f>
        <v>688200</v>
      </c>
      <c r="D42" s="40" t="n">
        <f aca="false">C42+D36+D39+D41</f>
        <v>626400</v>
      </c>
      <c r="E42" s="40" t="n">
        <f aca="false">D42+E36+E39+E41</f>
        <v>564300</v>
      </c>
      <c r="F42" s="40" t="n">
        <f aca="false">E42+F36+F39+F41</f>
        <v>502200</v>
      </c>
      <c r="G42" s="40" t="n">
        <f aca="false">F42+G36+G39+G41</f>
        <v>440100</v>
      </c>
      <c r="H42" s="40" t="n">
        <f aca="false">G42+H36+H39+H41</f>
        <v>385000</v>
      </c>
      <c r="I42" s="40" t="n">
        <f aca="false">H42+I36+I39+I41</f>
        <v>333183</v>
      </c>
      <c r="J42" s="40" t="n">
        <f aca="false">I42+J36+J39+J41</f>
        <v>284616.17</v>
      </c>
      <c r="K42" s="40" t="n">
        <f aca="false">J42+K36+K39+K41</f>
        <v>239267.0083</v>
      </c>
      <c r="L42" s="40" t="n">
        <f aca="false">K42+L36+L39+L41</f>
        <v>197103.338217</v>
      </c>
      <c r="M42" s="40" t="n">
        <f aca="false">L42+M36+M39+M41</f>
        <v>158093.30483483</v>
      </c>
      <c r="N42" s="40" t="n">
        <f aca="false">M42+N36+N39+N41</f>
        <v>125374.121786482</v>
      </c>
      <c r="O42" s="40" t="n">
        <f aca="false">N42+O36+O39+O41</f>
        <v>112859.011099328</v>
      </c>
      <c r="P42" s="40" t="n">
        <f aca="false">O42+P36+P39+P41</f>
        <v>107387.414019047</v>
      </c>
      <c r="Q42" s="40" t="n">
        <f aca="false">P42+Q36+Q39+Q41</f>
        <v>3108920.52665957</v>
      </c>
      <c r="R42" s="40" t="n">
        <f aca="false">Q42+R36+R39+R41</f>
        <v>3074299.93317368</v>
      </c>
      <c r="S42" s="40" t="n">
        <f aca="false">R42+S36+S39+S41</f>
        <v>3046607.60187266</v>
      </c>
      <c r="T42" s="40" t="n">
        <f aca="false">S42+T36+T39+T41</f>
        <v>3025805.88138464</v>
      </c>
      <c r="U42" s="40" t="n">
        <f aca="false">T42+U36+U39+U41</f>
        <v>3011857.49685151</v>
      </c>
      <c r="V42" s="40" t="n">
        <f aca="false">U42+V36+V39+V41</f>
        <v>3004725.54616371</v>
      </c>
      <c r="W42" s="40" t="n">
        <f aca="false">V42+W36+W39+W41</f>
        <v>3007536.62123278</v>
      </c>
      <c r="X42" s="40" t="n">
        <f aca="false">W42+X36+X39+X41</f>
        <v>3004574.55430116</v>
      </c>
      <c r="Y42" s="40" t="n">
        <f aca="false">X42+Y36+Y39+Y41</f>
        <v>3011483.53928886</v>
      </c>
      <c r="Z42" s="40" t="n">
        <f aca="false">Y42+Z36+Z39+Z41</f>
        <v>3028228.12817669</v>
      </c>
      <c r="AA42" s="40" t="n">
        <f aca="false">Z42+AA36+AA39+AA41</f>
        <v>3035641.35242563</v>
      </c>
      <c r="AB42" s="40" t="n">
        <f aca="false">AA42+AB36+AB39+AB41</f>
        <v>3053647.61318209</v>
      </c>
      <c r="AC42" s="40" t="n">
        <f aca="false">AB42+AC36+AC39+AC41</f>
        <v>3085367.36758098</v>
      </c>
      <c r="AD42" s="40" t="n">
        <f aca="false">AC42+AD36+AD39+AD41</f>
        <v>3115078.37443588</v>
      </c>
      <c r="AE42" s="40" t="n">
        <f aca="false">AD42+AE36+AE39+AE41</f>
        <v>3158418.81497223</v>
      </c>
      <c r="AF42" s="40" t="n">
        <f aca="false">AE42+AF36+AF39+AF41</f>
        <v>3215347.28860322</v>
      </c>
      <c r="AG42" s="40" t="n">
        <f aca="false">AF42+AG36+AG39+AG41</f>
        <v>3275042.8087479</v>
      </c>
      <c r="AH42" s="40" t="n">
        <f aca="false">AG42+AH36+AH39+AH41</f>
        <v>3348244.79869113</v>
      </c>
      <c r="AI42" s="40" t="n">
        <f aca="false">AH42+AI36+AI39+AI41</f>
        <v>3438076.21248493</v>
      </c>
      <c r="AJ42" s="40" t="n">
        <f aca="false">AI42+AJ36+AJ39+AJ41</f>
        <v>3544497.2808908</v>
      </c>
      <c r="AK42" s="40" t="n">
        <f aca="false">AJ42+AK36+AK39+AK41</f>
        <v>3667468.6323626</v>
      </c>
      <c r="AL42" s="40" t="n">
        <f aca="false">AK42+AL36+AL39+AL41</f>
        <v>3803788.16406969</v>
      </c>
      <c r="AN42" s="47" t="n">
        <f aca="false">INDEX($C42:$AL42,1,12)</f>
        <v>125374.121786482</v>
      </c>
      <c r="AO42" s="47" t="n">
        <f aca="false">INDEX($C42:$AL42,1,24)</f>
        <v>3028228.12817669</v>
      </c>
      <c r="AP42" s="47" t="n">
        <f aca="false">INDEX($C42:$AL42,1,36)</f>
        <v>3803788.16406969</v>
      </c>
    </row>
    <row r="43" customFormat="false" ht="15" hidden="false" customHeight="false" outlineLevel="0" collapsed="false">
      <c r="A43" s="7" t="s">
        <v>337</v>
      </c>
      <c r="B43" s="14" t="s">
        <v>100</v>
      </c>
      <c r="C43" s="53" t="n">
        <f aca="false">IF(C40&lt;0,C$3,99)</f>
        <v>99</v>
      </c>
      <c r="D43" s="53" t="n">
        <f aca="false">IF(D40&lt;0,D$3,99)</f>
        <v>99</v>
      </c>
      <c r="E43" s="53" t="n">
        <f aca="false">IF(E40&lt;0,E$3,99)</f>
        <v>99</v>
      </c>
      <c r="F43" s="53" t="n">
        <f aca="false">IF(F40&lt;0,F$3,99)</f>
        <v>99</v>
      </c>
      <c r="G43" s="53" t="n">
        <f aca="false">IF(G40&lt;0,G$3,99)</f>
        <v>99</v>
      </c>
      <c r="H43" s="53" t="n">
        <f aca="false">IF(H40&lt;0,H$3,99)</f>
        <v>99</v>
      </c>
      <c r="I43" s="53" t="n">
        <f aca="false">IF(I40&lt;0,I$3,99)</f>
        <v>99</v>
      </c>
      <c r="J43" s="53" t="n">
        <f aca="false">IF(J40&lt;0,J$3,99)</f>
        <v>99</v>
      </c>
      <c r="K43" s="53" t="n">
        <f aca="false">IF(K40&lt;0,K$3,99)</f>
        <v>99</v>
      </c>
      <c r="L43" s="53" t="n">
        <f aca="false">IF(L40&lt;0,L$3,99)</f>
        <v>99</v>
      </c>
      <c r="M43" s="53" t="n">
        <f aca="false">IF(M40&lt;0,M$3,99)</f>
        <v>99</v>
      </c>
      <c r="N43" s="53" t="n">
        <f aca="false">IF(N40&lt;0,N$3,99)</f>
        <v>99</v>
      </c>
      <c r="O43" s="53" t="n">
        <f aca="false">IF(O40&lt;0,O$3,99)</f>
        <v>99</v>
      </c>
      <c r="P43" s="53" t="n">
        <f aca="false">IF(P40&lt;0,P$3,99)</f>
        <v>99</v>
      </c>
      <c r="Q43" s="53" t="n">
        <f aca="false">IF(Q40&lt;0,Q$3,99)</f>
        <v>99</v>
      </c>
      <c r="R43" s="53" t="n">
        <f aca="false">IF(R40&lt;0,R$3,99)</f>
        <v>99</v>
      </c>
      <c r="S43" s="53" t="n">
        <f aca="false">IF(S40&lt;0,S$3,99)</f>
        <v>99</v>
      </c>
      <c r="T43" s="53" t="n">
        <f aca="false">IF(T40&lt;0,T$3,99)</f>
        <v>99</v>
      </c>
      <c r="U43" s="53" t="n">
        <f aca="false">IF(U40&lt;0,U$3,99)</f>
        <v>99</v>
      </c>
      <c r="V43" s="53" t="n">
        <f aca="false">IF(V40&lt;0,V$3,99)</f>
        <v>99</v>
      </c>
      <c r="W43" s="53" t="n">
        <f aca="false">IF(W40&lt;0,W$3,99)</f>
        <v>99</v>
      </c>
      <c r="X43" s="53" t="n">
        <f aca="false">IF(X40&lt;0,X$3,99)</f>
        <v>99</v>
      </c>
      <c r="Y43" s="53" t="n">
        <f aca="false">IF(Y40&lt;0,Y$3,99)</f>
        <v>99</v>
      </c>
      <c r="Z43" s="53" t="n">
        <f aca="false">IF(Z40&lt;0,Z$3,99)</f>
        <v>99</v>
      </c>
      <c r="AA43" s="53" t="n">
        <f aca="false">IF(AA40&lt;0,AA$3,99)</f>
        <v>99</v>
      </c>
      <c r="AB43" s="53" t="n">
        <f aca="false">IF(AB40&lt;0,AB$3,99)</f>
        <v>99</v>
      </c>
      <c r="AC43" s="53" t="n">
        <f aca="false">IF(AC40&lt;0,AC$3,99)</f>
        <v>99</v>
      </c>
      <c r="AD43" s="53" t="n">
        <f aca="false">IF(AD40&lt;0,AD$3,99)</f>
        <v>99</v>
      </c>
      <c r="AE43" s="53" t="n">
        <f aca="false">IF(AE40&lt;0,AE$3,99)</f>
        <v>99</v>
      </c>
      <c r="AF43" s="53" t="n">
        <f aca="false">IF(AF40&lt;0,AF$3,99)</f>
        <v>99</v>
      </c>
      <c r="AG43" s="53" t="n">
        <f aca="false">IF(AG40&lt;0,AG$3,99)</f>
        <v>99</v>
      </c>
      <c r="AH43" s="53" t="n">
        <f aca="false">IF(AH40&lt;0,AH$3,99)</f>
        <v>99</v>
      </c>
      <c r="AI43" s="53" t="n">
        <f aca="false">IF(AI40&lt;0,AI$3,99)</f>
        <v>99</v>
      </c>
      <c r="AJ43" s="53" t="n">
        <f aca="false">IF(AJ40&lt;0,AJ$3,99)</f>
        <v>99</v>
      </c>
      <c r="AK43" s="53" t="n">
        <f aca="false">IF(AK40&lt;0,AK$3,99)</f>
        <v>99</v>
      </c>
      <c r="AL43" s="53" t="n">
        <f aca="false">IF(AL40&lt;0,AL$3,99)</f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8" min="3" style="0" width="10.51"/>
    <col collapsed="false" customWidth="true" hidden="false" outlineLevel="0" max="39" min="39" style="0" width="3"/>
    <col collapsed="false" customWidth="true" hidden="false" outlineLevel="0" max="42" min="40" style="0" width="13"/>
  </cols>
  <sheetData>
    <row r="1" customFormat="false" ht="17.35" hidden="false" customHeight="false" outlineLevel="0" collapsed="false">
      <c r="A1" s="6" t="s">
        <v>338</v>
      </c>
    </row>
    <row r="2" customFormat="false" ht="15" hidden="false" customHeight="false" outlineLevel="0" collapsed="false">
      <c r="A2" s="7" t="s">
        <v>305</v>
      </c>
    </row>
    <row r="3" customFormat="false" ht="15" hidden="false" customHeight="false" outlineLevel="0" collapsed="false">
      <c r="A3" s="23" t="s">
        <v>306</v>
      </c>
      <c r="C3" s="25" t="n">
        <v>1</v>
      </c>
      <c r="D3" s="25" t="n">
        <f aca="false">C3+1</f>
        <v>2</v>
      </c>
      <c r="E3" s="25" t="n">
        <f aca="false">D3+1</f>
        <v>3</v>
      </c>
      <c r="F3" s="25" t="n">
        <f aca="false">E3+1</f>
        <v>4</v>
      </c>
      <c r="G3" s="25" t="n">
        <f aca="false">F3+1</f>
        <v>5</v>
      </c>
      <c r="H3" s="25" t="n">
        <f aca="false">G3+1</f>
        <v>6</v>
      </c>
      <c r="I3" s="25" t="n">
        <f aca="false">H3+1</f>
        <v>7</v>
      </c>
      <c r="J3" s="25" t="n">
        <f aca="false">I3+1</f>
        <v>8</v>
      </c>
      <c r="K3" s="25" t="n">
        <f aca="false">J3+1</f>
        <v>9</v>
      </c>
      <c r="L3" s="25" t="n">
        <f aca="false">K3+1</f>
        <v>10</v>
      </c>
      <c r="M3" s="25" t="n">
        <f aca="false">L3+1</f>
        <v>11</v>
      </c>
      <c r="N3" s="25" t="n">
        <f aca="false">M3+1</f>
        <v>12</v>
      </c>
      <c r="O3" s="25" t="n">
        <f aca="false">N3+1</f>
        <v>13</v>
      </c>
      <c r="P3" s="25" t="n">
        <f aca="false">O3+1</f>
        <v>14</v>
      </c>
      <c r="Q3" s="25" t="n">
        <f aca="false">P3+1</f>
        <v>15</v>
      </c>
      <c r="R3" s="25" t="n">
        <f aca="false">Q3+1</f>
        <v>16</v>
      </c>
      <c r="S3" s="25" t="n">
        <f aca="false">R3+1</f>
        <v>17</v>
      </c>
      <c r="T3" s="25" t="n">
        <f aca="false">S3+1</f>
        <v>18</v>
      </c>
      <c r="U3" s="25" t="n">
        <f aca="false">T3+1</f>
        <v>19</v>
      </c>
      <c r="V3" s="25" t="n">
        <f aca="false">U3+1</f>
        <v>20</v>
      </c>
      <c r="W3" s="25" t="n">
        <f aca="false">V3+1</f>
        <v>21</v>
      </c>
      <c r="X3" s="25" t="n">
        <f aca="false">W3+1</f>
        <v>22</v>
      </c>
      <c r="Y3" s="25" t="n">
        <f aca="false">X3+1</f>
        <v>23</v>
      </c>
      <c r="Z3" s="25" t="n">
        <f aca="false">Y3+1</f>
        <v>24</v>
      </c>
      <c r="AA3" s="25" t="n">
        <f aca="false">Z3+1</f>
        <v>25</v>
      </c>
      <c r="AB3" s="25" t="n">
        <f aca="false">AA3+1</f>
        <v>26</v>
      </c>
      <c r="AC3" s="25" t="n">
        <f aca="false">AB3+1</f>
        <v>27</v>
      </c>
      <c r="AD3" s="25" t="n">
        <f aca="false">AC3+1</f>
        <v>28</v>
      </c>
      <c r="AE3" s="25" t="n">
        <f aca="false">AD3+1</f>
        <v>29</v>
      </c>
      <c r="AF3" s="25" t="n">
        <f aca="false">AE3+1</f>
        <v>30</v>
      </c>
      <c r="AG3" s="25" t="n">
        <f aca="false">AF3+1</f>
        <v>31</v>
      </c>
      <c r="AH3" s="25" t="n">
        <f aca="false">AG3+1</f>
        <v>32</v>
      </c>
      <c r="AI3" s="25" t="n">
        <f aca="false">AH3+1</f>
        <v>33</v>
      </c>
      <c r="AJ3" s="25" t="n">
        <f aca="false">AI3+1</f>
        <v>34</v>
      </c>
      <c r="AK3" s="25" t="n">
        <f aca="false">AJ3+1</f>
        <v>35</v>
      </c>
      <c r="AL3" s="25" t="n">
        <f aca="false">AK3+1</f>
        <v>36</v>
      </c>
      <c r="AN3" s="25" t="s">
        <v>196</v>
      </c>
      <c r="AO3" s="25" t="s">
        <v>197</v>
      </c>
      <c r="AP3" s="25" t="s">
        <v>198</v>
      </c>
    </row>
    <row r="4" customFormat="false" ht="15" hidden="false" customHeight="false" outlineLevel="0" collapsed="false">
      <c r="A4" s="23" t="s">
        <v>307</v>
      </c>
      <c r="C4" s="45" t="n">
        <f aca="false">ROUNDUP(C3/12,0)</f>
        <v>1</v>
      </c>
      <c r="D4" s="45" t="n">
        <f aca="false">ROUNDUP(D3/12,0)</f>
        <v>1</v>
      </c>
      <c r="E4" s="45" t="n">
        <f aca="false">ROUNDUP(E3/12,0)</f>
        <v>1</v>
      </c>
      <c r="F4" s="45" t="n">
        <f aca="false">ROUNDUP(F3/12,0)</f>
        <v>1</v>
      </c>
      <c r="G4" s="45" t="n">
        <f aca="false">ROUNDUP(G3/12,0)</f>
        <v>1</v>
      </c>
      <c r="H4" s="45" t="n">
        <f aca="false">ROUNDUP(H3/12,0)</f>
        <v>1</v>
      </c>
      <c r="I4" s="45" t="n">
        <f aca="false">ROUNDUP(I3/12,0)</f>
        <v>1</v>
      </c>
      <c r="J4" s="45" t="n">
        <f aca="false">ROUNDUP(J3/12,0)</f>
        <v>1</v>
      </c>
      <c r="K4" s="45" t="n">
        <f aca="false">ROUNDUP(K3/12,0)</f>
        <v>1</v>
      </c>
      <c r="L4" s="45" t="n">
        <f aca="false">ROUNDUP(L3/12,0)</f>
        <v>1</v>
      </c>
      <c r="M4" s="45" t="n">
        <f aca="false">ROUNDUP(M3/12,0)</f>
        <v>1</v>
      </c>
      <c r="N4" s="45" t="n">
        <f aca="false">ROUNDUP(N3/12,0)</f>
        <v>1</v>
      </c>
      <c r="O4" s="45" t="n">
        <f aca="false">ROUNDUP(O3/12,0)</f>
        <v>2</v>
      </c>
      <c r="P4" s="45" t="n">
        <f aca="false">ROUNDUP(P3/12,0)</f>
        <v>2</v>
      </c>
      <c r="Q4" s="45" t="n">
        <f aca="false">ROUNDUP(Q3/12,0)</f>
        <v>2</v>
      </c>
      <c r="R4" s="45" t="n">
        <f aca="false">ROUNDUP(R3/12,0)</f>
        <v>2</v>
      </c>
      <c r="S4" s="45" t="n">
        <f aca="false">ROUNDUP(S3/12,0)</f>
        <v>2</v>
      </c>
      <c r="T4" s="45" t="n">
        <f aca="false">ROUNDUP(T3/12,0)</f>
        <v>2</v>
      </c>
      <c r="U4" s="45" t="n">
        <f aca="false">ROUNDUP(U3/12,0)</f>
        <v>2</v>
      </c>
      <c r="V4" s="45" t="n">
        <f aca="false">ROUNDUP(V3/12,0)</f>
        <v>2</v>
      </c>
      <c r="W4" s="45" t="n">
        <f aca="false">ROUNDUP(W3/12,0)</f>
        <v>2</v>
      </c>
      <c r="X4" s="45" t="n">
        <f aca="false">ROUNDUP(X3/12,0)</f>
        <v>2</v>
      </c>
      <c r="Y4" s="45" t="n">
        <f aca="false">ROUNDUP(Y3/12,0)</f>
        <v>2</v>
      </c>
      <c r="Z4" s="45" t="n">
        <f aca="false">ROUNDUP(Z3/12,0)</f>
        <v>2</v>
      </c>
      <c r="AA4" s="45" t="n">
        <f aca="false">ROUNDUP(AA3/12,0)</f>
        <v>3</v>
      </c>
      <c r="AB4" s="45" t="n">
        <f aca="false">ROUNDUP(AB3/12,0)</f>
        <v>3</v>
      </c>
      <c r="AC4" s="45" t="n">
        <f aca="false">ROUNDUP(AC3/12,0)</f>
        <v>3</v>
      </c>
      <c r="AD4" s="45" t="n">
        <f aca="false">ROUNDUP(AD3/12,0)</f>
        <v>3</v>
      </c>
      <c r="AE4" s="45" t="n">
        <f aca="false">ROUNDUP(AE3/12,0)</f>
        <v>3</v>
      </c>
      <c r="AF4" s="45" t="n">
        <f aca="false">ROUNDUP(AF3/12,0)</f>
        <v>3</v>
      </c>
      <c r="AG4" s="45" t="n">
        <f aca="false">ROUNDUP(AG3/12,0)</f>
        <v>3</v>
      </c>
      <c r="AH4" s="45" t="n">
        <f aca="false">ROUNDUP(AH3/12,0)</f>
        <v>3</v>
      </c>
      <c r="AI4" s="45" t="n">
        <f aca="false">ROUNDUP(AI3/12,0)</f>
        <v>3</v>
      </c>
      <c r="AJ4" s="45" t="n">
        <f aca="false">ROUNDUP(AJ3/12,0)</f>
        <v>3</v>
      </c>
      <c r="AK4" s="45" t="n">
        <f aca="false">ROUNDUP(AK3/12,0)</f>
        <v>3</v>
      </c>
      <c r="AL4" s="45" t="n">
        <f aca="false">ROUNDUP(AL3/12,0)</f>
        <v>3</v>
      </c>
      <c r="AN4" s="7" t="s">
        <v>308</v>
      </c>
      <c r="AO4" s="7" t="s">
        <v>308</v>
      </c>
      <c r="AP4" s="7" t="s">
        <v>308</v>
      </c>
    </row>
    <row r="6" customFormat="false" ht="15" hidden="false" customHeight="false" outlineLevel="0" collapsed="false">
      <c r="A6" s="9" t="s">
        <v>309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</row>
    <row r="7" customFormat="false" ht="15" hidden="false" customHeight="false" outlineLevel="0" collapsed="false">
      <c r="A7" s="11" t="s">
        <v>310</v>
      </c>
      <c r="B7" s="14" t="s">
        <v>103</v>
      </c>
      <c r="C7" s="33" t="n">
        <f aca="false">IF(AND(C$3&gt;=Inputs!$C$42,C$3&lt;Inputs!$C$44),Inputs!$C$43,0)</f>
        <v>0</v>
      </c>
      <c r="D7" s="33" t="n">
        <f aca="false">IF(AND(D$3&gt;=Inputs!$C$42,D$3&lt;Inputs!$C$44),Inputs!$C$43,0)</f>
        <v>0</v>
      </c>
      <c r="E7" s="33" t="n">
        <f aca="false">IF(AND(E$3&gt;=Inputs!$C$42,E$3&lt;Inputs!$C$44),Inputs!$C$43,0)</f>
        <v>2</v>
      </c>
      <c r="F7" s="33" t="n">
        <f aca="false">IF(AND(F$3&gt;=Inputs!$C$42,F$3&lt;Inputs!$C$44),Inputs!$C$43,0)</f>
        <v>2</v>
      </c>
      <c r="G7" s="33" t="n">
        <f aca="false">IF(AND(G$3&gt;=Inputs!$C$42,G$3&lt;Inputs!$C$44),Inputs!$C$43,0)</f>
        <v>2</v>
      </c>
      <c r="H7" s="33" t="n">
        <f aca="false">IF(AND(H$3&gt;=Inputs!$C$42,H$3&lt;Inputs!$C$44),Inputs!$C$43,0)</f>
        <v>2</v>
      </c>
      <c r="I7" s="33" t="n">
        <f aca="false">IF(AND(I$3&gt;=Inputs!$C$42,I$3&lt;Inputs!$C$44),Inputs!$C$43,0)</f>
        <v>0</v>
      </c>
      <c r="J7" s="33" t="n">
        <f aca="false">IF(AND(J$3&gt;=Inputs!$C$42,J$3&lt;Inputs!$C$44),Inputs!$C$43,0)</f>
        <v>0</v>
      </c>
      <c r="K7" s="33" t="n">
        <f aca="false">IF(AND(K$3&gt;=Inputs!$C$42,K$3&lt;Inputs!$C$44),Inputs!$C$43,0)</f>
        <v>0</v>
      </c>
      <c r="L7" s="33" t="n">
        <f aca="false">IF(AND(L$3&gt;=Inputs!$C$42,L$3&lt;Inputs!$C$44),Inputs!$C$43,0)</f>
        <v>0</v>
      </c>
      <c r="M7" s="33" t="n">
        <f aca="false">IF(AND(M$3&gt;=Inputs!$C$42,M$3&lt;Inputs!$C$44),Inputs!$C$43,0)</f>
        <v>0</v>
      </c>
      <c r="N7" s="33" t="n">
        <f aca="false">IF(AND(N$3&gt;=Inputs!$C$42,N$3&lt;Inputs!$C$44),Inputs!$C$43,0)</f>
        <v>0</v>
      </c>
      <c r="O7" s="33" t="n">
        <f aca="false">IF(AND(O$3&gt;=Inputs!$C$42,O$3&lt;Inputs!$C$44),Inputs!$C$43,0)</f>
        <v>0</v>
      </c>
      <c r="P7" s="33" t="n">
        <f aca="false">IF(AND(P$3&gt;=Inputs!$C$42,P$3&lt;Inputs!$C$44),Inputs!$C$43,0)</f>
        <v>0</v>
      </c>
      <c r="Q7" s="33" t="n">
        <f aca="false">IF(AND(Q$3&gt;=Inputs!$C$42,Q$3&lt;Inputs!$C$44),Inputs!$C$43,0)</f>
        <v>0</v>
      </c>
      <c r="R7" s="33" t="n">
        <f aca="false">IF(AND(R$3&gt;=Inputs!$C$42,R$3&lt;Inputs!$C$44),Inputs!$C$43,0)</f>
        <v>0</v>
      </c>
      <c r="S7" s="33" t="n">
        <f aca="false">IF(AND(S$3&gt;=Inputs!$C$42,S$3&lt;Inputs!$C$44),Inputs!$C$43,0)</f>
        <v>0</v>
      </c>
      <c r="T7" s="33" t="n">
        <f aca="false">IF(AND(T$3&gt;=Inputs!$C$42,T$3&lt;Inputs!$C$44),Inputs!$C$43,0)</f>
        <v>0</v>
      </c>
      <c r="U7" s="33" t="n">
        <f aca="false">IF(AND(U$3&gt;=Inputs!$C$42,U$3&lt;Inputs!$C$44),Inputs!$C$43,0)</f>
        <v>0</v>
      </c>
      <c r="V7" s="33" t="n">
        <f aca="false">IF(AND(V$3&gt;=Inputs!$C$42,V$3&lt;Inputs!$C$44),Inputs!$C$43,0)</f>
        <v>0</v>
      </c>
      <c r="W7" s="33" t="n">
        <f aca="false">IF(AND(W$3&gt;=Inputs!$C$42,W$3&lt;Inputs!$C$44),Inputs!$C$43,0)</f>
        <v>0</v>
      </c>
      <c r="X7" s="33" t="n">
        <f aca="false">IF(AND(X$3&gt;=Inputs!$C$42,X$3&lt;Inputs!$C$44),Inputs!$C$43,0)</f>
        <v>0</v>
      </c>
      <c r="Y7" s="33" t="n">
        <f aca="false">IF(AND(Y$3&gt;=Inputs!$C$42,Y$3&lt;Inputs!$C$44),Inputs!$C$43,0)</f>
        <v>0</v>
      </c>
      <c r="Z7" s="33" t="n">
        <f aca="false">IF(AND(Z$3&gt;=Inputs!$C$42,Z$3&lt;Inputs!$C$44),Inputs!$C$43,0)</f>
        <v>0</v>
      </c>
      <c r="AA7" s="33" t="n">
        <f aca="false">IF(AND(AA$3&gt;=Inputs!$C$42,AA$3&lt;Inputs!$C$44),Inputs!$C$43,0)</f>
        <v>0</v>
      </c>
      <c r="AB7" s="33" t="n">
        <f aca="false">IF(AND(AB$3&gt;=Inputs!$C$42,AB$3&lt;Inputs!$C$44),Inputs!$C$43,0)</f>
        <v>0</v>
      </c>
      <c r="AC7" s="33" t="n">
        <f aca="false">IF(AND(AC$3&gt;=Inputs!$C$42,AC$3&lt;Inputs!$C$44),Inputs!$C$43,0)</f>
        <v>0</v>
      </c>
      <c r="AD7" s="33" t="n">
        <f aca="false">IF(AND(AD$3&gt;=Inputs!$C$42,AD$3&lt;Inputs!$C$44),Inputs!$C$43,0)</f>
        <v>0</v>
      </c>
      <c r="AE7" s="33" t="n">
        <f aca="false">IF(AND(AE$3&gt;=Inputs!$C$42,AE$3&lt;Inputs!$C$44),Inputs!$C$43,0)</f>
        <v>0</v>
      </c>
      <c r="AF7" s="33" t="n">
        <f aca="false">IF(AND(AF$3&gt;=Inputs!$C$42,AF$3&lt;Inputs!$C$44),Inputs!$C$43,0)</f>
        <v>0</v>
      </c>
      <c r="AG7" s="33" t="n">
        <f aca="false">IF(AND(AG$3&gt;=Inputs!$C$42,AG$3&lt;Inputs!$C$44),Inputs!$C$43,0)</f>
        <v>0</v>
      </c>
      <c r="AH7" s="33" t="n">
        <f aca="false">IF(AND(AH$3&gt;=Inputs!$C$42,AH$3&lt;Inputs!$C$44),Inputs!$C$43,0)</f>
        <v>0</v>
      </c>
      <c r="AI7" s="33" t="n">
        <f aca="false">IF(AND(AI$3&gt;=Inputs!$C$42,AI$3&lt;Inputs!$C$44),Inputs!$C$43,0)</f>
        <v>0</v>
      </c>
      <c r="AJ7" s="33" t="n">
        <f aca="false">IF(AND(AJ$3&gt;=Inputs!$C$42,AJ$3&lt;Inputs!$C$44),Inputs!$C$43,0)</f>
        <v>0</v>
      </c>
      <c r="AK7" s="33" t="n">
        <f aca="false">IF(AND(AK$3&gt;=Inputs!$C$42,AK$3&lt;Inputs!$C$44),Inputs!$C$43,0)</f>
        <v>0</v>
      </c>
      <c r="AL7" s="33" t="n">
        <f aca="false">IF(AND(AL$3&gt;=Inputs!$C$42,AL$3&lt;Inputs!$C$44),Inputs!$C$43,0)</f>
        <v>0</v>
      </c>
      <c r="AN7" s="46" t="n">
        <f aca="false">INDEX($C7:$AL7,1,12)</f>
        <v>0</v>
      </c>
      <c r="AO7" s="46" t="n">
        <f aca="false">INDEX($C7:$AL7,1,24)</f>
        <v>0</v>
      </c>
      <c r="AP7" s="46" t="n">
        <f aca="false">INDEX($C7:$AL7,1,36)</f>
        <v>0</v>
      </c>
    </row>
    <row r="8" customFormat="false" ht="15" hidden="false" customHeight="false" outlineLevel="0" collapsed="false">
      <c r="A8" s="11" t="s">
        <v>311</v>
      </c>
      <c r="B8" s="14" t="s">
        <v>103</v>
      </c>
      <c r="C8" s="33" t="n">
        <f aca="false">IF(C$3&lt;=Inputs!$C$44,0,CHOOSE(C$4,Inputs!$C$45,Inputs!$C$46,Inputs!$C$47))</f>
        <v>0</v>
      </c>
      <c r="D8" s="33" t="n">
        <f aca="false">IF(D$3&lt;=Inputs!$C$44,0,CHOOSE(D$4,Inputs!$C$45,Inputs!$C$46,Inputs!$C$47))</f>
        <v>0</v>
      </c>
      <c r="E8" s="33" t="n">
        <f aca="false">IF(E$3&lt;=Inputs!$C$44,0,CHOOSE(E$4,Inputs!$C$45,Inputs!$C$46,Inputs!$C$47))</f>
        <v>0</v>
      </c>
      <c r="F8" s="33" t="n">
        <f aca="false">IF(F$3&lt;=Inputs!$C$44,0,CHOOSE(F$4,Inputs!$C$45,Inputs!$C$46,Inputs!$C$47))</f>
        <v>0</v>
      </c>
      <c r="G8" s="33" t="n">
        <f aca="false">IF(G$3&lt;=Inputs!$C$44,0,CHOOSE(G$4,Inputs!$C$45,Inputs!$C$46,Inputs!$C$47))</f>
        <v>0</v>
      </c>
      <c r="H8" s="33" t="n">
        <f aca="false">IF(H$3&lt;=Inputs!$C$44,0,CHOOSE(H$4,Inputs!$C$45,Inputs!$C$46,Inputs!$C$47))</f>
        <v>0</v>
      </c>
      <c r="I8" s="33" t="n">
        <f aca="false">IF(I$3&lt;=Inputs!$C$44,0,CHOOSE(I$4,Inputs!$C$45,Inputs!$C$46,Inputs!$C$47))</f>
        <v>0</v>
      </c>
      <c r="J8" s="33" t="n">
        <f aca="false">IF(J$3&lt;=Inputs!$C$44,0,CHOOSE(J$4,Inputs!$C$45,Inputs!$C$46,Inputs!$C$47))</f>
        <v>0.5</v>
      </c>
      <c r="K8" s="33" t="n">
        <f aca="false">IF(K$3&lt;=Inputs!$C$44,0,CHOOSE(K$4,Inputs!$C$45,Inputs!$C$46,Inputs!$C$47))</f>
        <v>0.5</v>
      </c>
      <c r="L8" s="33" t="n">
        <f aca="false">IF(L$3&lt;=Inputs!$C$44,0,CHOOSE(L$4,Inputs!$C$45,Inputs!$C$46,Inputs!$C$47))</f>
        <v>0.5</v>
      </c>
      <c r="M8" s="33" t="n">
        <f aca="false">IF(M$3&lt;=Inputs!$C$44,0,CHOOSE(M$4,Inputs!$C$45,Inputs!$C$46,Inputs!$C$47))</f>
        <v>0.5</v>
      </c>
      <c r="N8" s="33" t="n">
        <f aca="false">IF(N$3&lt;=Inputs!$C$44,0,CHOOSE(N$4,Inputs!$C$45,Inputs!$C$46,Inputs!$C$47))</f>
        <v>0.5</v>
      </c>
      <c r="O8" s="33" t="n">
        <f aca="false">IF(O$3&lt;=Inputs!$C$44,0,CHOOSE(O$4,Inputs!$C$45,Inputs!$C$46,Inputs!$C$47))</f>
        <v>0.75</v>
      </c>
      <c r="P8" s="33" t="n">
        <f aca="false">IF(P$3&lt;=Inputs!$C$44,0,CHOOSE(P$4,Inputs!$C$45,Inputs!$C$46,Inputs!$C$47))</f>
        <v>0.75</v>
      </c>
      <c r="Q8" s="33" t="n">
        <f aca="false">IF(Q$3&lt;=Inputs!$C$44,0,CHOOSE(Q$4,Inputs!$C$45,Inputs!$C$46,Inputs!$C$47))</f>
        <v>0.75</v>
      </c>
      <c r="R8" s="33" t="n">
        <f aca="false">IF(R$3&lt;=Inputs!$C$44,0,CHOOSE(R$4,Inputs!$C$45,Inputs!$C$46,Inputs!$C$47))</f>
        <v>0.75</v>
      </c>
      <c r="S8" s="33" t="n">
        <f aca="false">IF(S$3&lt;=Inputs!$C$44,0,CHOOSE(S$4,Inputs!$C$45,Inputs!$C$46,Inputs!$C$47))</f>
        <v>0.75</v>
      </c>
      <c r="T8" s="33" t="n">
        <f aca="false">IF(T$3&lt;=Inputs!$C$44,0,CHOOSE(T$4,Inputs!$C$45,Inputs!$C$46,Inputs!$C$47))</f>
        <v>0.75</v>
      </c>
      <c r="U8" s="33" t="n">
        <f aca="false">IF(U$3&lt;=Inputs!$C$44,0,CHOOSE(U$4,Inputs!$C$45,Inputs!$C$46,Inputs!$C$47))</f>
        <v>0.75</v>
      </c>
      <c r="V8" s="33" t="n">
        <f aca="false">IF(V$3&lt;=Inputs!$C$44,0,CHOOSE(V$4,Inputs!$C$45,Inputs!$C$46,Inputs!$C$47))</f>
        <v>0.75</v>
      </c>
      <c r="W8" s="33" t="n">
        <f aca="false">IF(W$3&lt;=Inputs!$C$44,0,CHOOSE(W$4,Inputs!$C$45,Inputs!$C$46,Inputs!$C$47))</f>
        <v>0.75</v>
      </c>
      <c r="X8" s="33" t="n">
        <f aca="false">IF(X$3&lt;=Inputs!$C$44,0,CHOOSE(X$4,Inputs!$C$45,Inputs!$C$46,Inputs!$C$47))</f>
        <v>0.75</v>
      </c>
      <c r="Y8" s="33" t="n">
        <f aca="false">IF(Y$3&lt;=Inputs!$C$44,0,CHOOSE(Y$4,Inputs!$C$45,Inputs!$C$46,Inputs!$C$47))</f>
        <v>0.75</v>
      </c>
      <c r="Z8" s="33" t="n">
        <f aca="false">IF(Z$3&lt;=Inputs!$C$44,0,CHOOSE(Z$4,Inputs!$C$45,Inputs!$C$46,Inputs!$C$47))</f>
        <v>0.75</v>
      </c>
      <c r="AA8" s="33" t="n">
        <f aca="false">IF(AA$3&lt;=Inputs!$C$44,0,CHOOSE(AA$4,Inputs!$C$45,Inputs!$C$46,Inputs!$C$47))</f>
        <v>1</v>
      </c>
      <c r="AB8" s="33" t="n">
        <f aca="false">IF(AB$3&lt;=Inputs!$C$44,0,CHOOSE(AB$4,Inputs!$C$45,Inputs!$C$46,Inputs!$C$47))</f>
        <v>1</v>
      </c>
      <c r="AC8" s="33" t="n">
        <f aca="false">IF(AC$3&lt;=Inputs!$C$44,0,CHOOSE(AC$4,Inputs!$C$45,Inputs!$C$46,Inputs!$C$47))</f>
        <v>1</v>
      </c>
      <c r="AD8" s="33" t="n">
        <f aca="false">IF(AD$3&lt;=Inputs!$C$44,0,CHOOSE(AD$4,Inputs!$C$45,Inputs!$C$46,Inputs!$C$47))</f>
        <v>1</v>
      </c>
      <c r="AE8" s="33" t="n">
        <f aca="false">IF(AE$3&lt;=Inputs!$C$44,0,CHOOSE(AE$4,Inputs!$C$45,Inputs!$C$46,Inputs!$C$47))</f>
        <v>1</v>
      </c>
      <c r="AF8" s="33" t="n">
        <f aca="false">IF(AF$3&lt;=Inputs!$C$44,0,CHOOSE(AF$4,Inputs!$C$45,Inputs!$C$46,Inputs!$C$47))</f>
        <v>1</v>
      </c>
      <c r="AG8" s="33" t="n">
        <f aca="false">IF(AG$3&lt;=Inputs!$C$44,0,CHOOSE(AG$4,Inputs!$C$45,Inputs!$C$46,Inputs!$C$47))</f>
        <v>1</v>
      </c>
      <c r="AH8" s="33" t="n">
        <f aca="false">IF(AH$3&lt;=Inputs!$C$44,0,CHOOSE(AH$4,Inputs!$C$45,Inputs!$C$46,Inputs!$C$47))</f>
        <v>1</v>
      </c>
      <c r="AI8" s="33" t="n">
        <f aca="false">IF(AI$3&lt;=Inputs!$C$44,0,CHOOSE(AI$4,Inputs!$C$45,Inputs!$C$46,Inputs!$C$47))</f>
        <v>1</v>
      </c>
      <c r="AJ8" s="33" t="n">
        <f aca="false">IF(AJ$3&lt;=Inputs!$C$44,0,CHOOSE(AJ$4,Inputs!$C$45,Inputs!$C$46,Inputs!$C$47))</f>
        <v>1</v>
      </c>
      <c r="AK8" s="33" t="n">
        <f aca="false">IF(AK$3&lt;=Inputs!$C$44,0,CHOOSE(AK$4,Inputs!$C$45,Inputs!$C$46,Inputs!$C$47))</f>
        <v>1</v>
      </c>
      <c r="AL8" s="33" t="n">
        <f aca="false">IF(AL$3&lt;=Inputs!$C$44,0,CHOOSE(AL$4,Inputs!$C$45,Inputs!$C$46,Inputs!$C$47))</f>
        <v>1</v>
      </c>
      <c r="AN8" s="46" t="n">
        <f aca="false">SUMIF($C$4:$AL$4,1,$C8:$AL8)</f>
        <v>2.5</v>
      </c>
      <c r="AO8" s="46" t="n">
        <f aca="false">SUMIF($C$4:$AL$4,2,$C8:$AL8)</f>
        <v>9</v>
      </c>
      <c r="AP8" s="46" t="n">
        <f aca="false">SUMIF($C$4:$AL$4,3,$C8:$AL8)</f>
        <v>12</v>
      </c>
    </row>
    <row r="9" customFormat="false" ht="15" hidden="false" customHeight="false" outlineLevel="0" collapsed="false">
      <c r="A9" s="11" t="s">
        <v>312</v>
      </c>
      <c r="B9" s="14" t="s">
        <v>103</v>
      </c>
      <c r="C9" s="33" t="n">
        <f aca="false">IF(C$3&lt;Inputs!$C$44,0,IF(C$3=Inputs!$C$44,Inputs!$C$43,0*(1-Inputs!$C$48)+C8))</f>
        <v>0</v>
      </c>
      <c r="D9" s="33" t="n">
        <f aca="false">IF(D$3&lt;Inputs!$C$44,0,IF(D$3=Inputs!$C$44,Inputs!$C$43,C9*(1-Inputs!$C$48)+D8))</f>
        <v>0</v>
      </c>
      <c r="E9" s="33" t="n">
        <f aca="false">IF(E$3&lt;Inputs!$C$44,0,IF(E$3=Inputs!$C$44,Inputs!$C$43,D9*(1-Inputs!$C$48)+E8))</f>
        <v>0</v>
      </c>
      <c r="F9" s="33" t="n">
        <f aca="false">IF(F$3&lt;Inputs!$C$44,0,IF(F$3=Inputs!$C$44,Inputs!$C$43,E9*(1-Inputs!$C$48)+F8))</f>
        <v>0</v>
      </c>
      <c r="G9" s="33" t="n">
        <f aca="false">IF(G$3&lt;Inputs!$C$44,0,IF(G$3=Inputs!$C$44,Inputs!$C$43,F9*(1-Inputs!$C$48)+G8))</f>
        <v>0</v>
      </c>
      <c r="H9" s="33" t="n">
        <f aca="false">IF(H$3&lt;Inputs!$C$44,0,IF(H$3=Inputs!$C$44,Inputs!$C$43,G9*(1-Inputs!$C$48)+H8))</f>
        <v>0</v>
      </c>
      <c r="I9" s="33" t="n">
        <f aca="false">IF(I$3&lt;Inputs!$C$44,0,IF(I$3=Inputs!$C$44,Inputs!$C$43,H9*(1-Inputs!$C$48)+I8))</f>
        <v>2</v>
      </c>
      <c r="J9" s="33" t="n">
        <f aca="false">IF(J$3&lt;Inputs!$C$44,0,IF(J$3=Inputs!$C$44,Inputs!$C$43,I9*(1-Inputs!$C$48)+J8))</f>
        <v>2.46</v>
      </c>
      <c r="K9" s="33" t="n">
        <f aca="false">IF(K$3&lt;Inputs!$C$44,0,IF(K$3=Inputs!$C$44,Inputs!$C$43,J9*(1-Inputs!$C$48)+K8))</f>
        <v>2.9108</v>
      </c>
      <c r="L9" s="33" t="n">
        <f aca="false">IF(L$3&lt;Inputs!$C$44,0,IF(L$3=Inputs!$C$44,Inputs!$C$43,K9*(1-Inputs!$C$48)+L8))</f>
        <v>3.352584</v>
      </c>
      <c r="M9" s="33" t="n">
        <f aca="false">IF(M$3&lt;Inputs!$C$44,0,IF(M$3=Inputs!$C$44,Inputs!$C$43,L9*(1-Inputs!$C$48)+M8))</f>
        <v>3.78553232</v>
      </c>
      <c r="N9" s="33" t="n">
        <f aca="false">IF(N$3&lt;Inputs!$C$44,0,IF(N$3=Inputs!$C$44,Inputs!$C$43,M9*(1-Inputs!$C$48)+N8))</f>
        <v>4.2098216736</v>
      </c>
      <c r="O9" s="33" t="n">
        <f aca="false">IF(O$3&lt;Inputs!$C$44,0,IF(O$3=Inputs!$C$44,Inputs!$C$43,N9*(1-Inputs!$C$48)+O8))</f>
        <v>4.875625240128</v>
      </c>
      <c r="P9" s="33" t="n">
        <f aca="false">IF(P$3&lt;Inputs!$C$44,0,IF(P$3=Inputs!$C$44,Inputs!$C$43,O9*(1-Inputs!$C$48)+P8))</f>
        <v>5.52811273532544</v>
      </c>
      <c r="Q9" s="33" t="n">
        <f aca="false">IF(Q$3&lt;Inputs!$C$44,0,IF(Q$3=Inputs!$C$44,Inputs!$C$43,P9*(1-Inputs!$C$48)+Q8))</f>
        <v>6.16755048061893</v>
      </c>
      <c r="R9" s="33" t="n">
        <f aca="false">IF(R$3&lt;Inputs!$C$44,0,IF(R$3=Inputs!$C$44,Inputs!$C$43,Q9*(1-Inputs!$C$48)+R8))</f>
        <v>6.79419947100655</v>
      </c>
      <c r="S9" s="33" t="n">
        <f aca="false">IF(S$3&lt;Inputs!$C$44,0,IF(S$3=Inputs!$C$44,Inputs!$C$43,R9*(1-Inputs!$C$48)+S8))</f>
        <v>7.40831548158642</v>
      </c>
      <c r="T9" s="33" t="n">
        <f aca="false">IF(T$3&lt;Inputs!$C$44,0,IF(T$3=Inputs!$C$44,Inputs!$C$43,S9*(1-Inputs!$C$48)+T8))</f>
        <v>8.01014917195469</v>
      </c>
      <c r="U9" s="33" t="n">
        <f aca="false">IF(U$3&lt;Inputs!$C$44,0,IF(U$3=Inputs!$C$44,Inputs!$C$43,T9*(1-Inputs!$C$48)+U8))</f>
        <v>8.5999461885156</v>
      </c>
      <c r="V9" s="33" t="n">
        <f aca="false">IF(V$3&lt;Inputs!$C$44,0,IF(V$3=Inputs!$C$44,Inputs!$C$43,U9*(1-Inputs!$C$48)+V8))</f>
        <v>9.17794726474529</v>
      </c>
      <c r="W9" s="33" t="n">
        <f aca="false">IF(W$3&lt;Inputs!$C$44,0,IF(W$3=Inputs!$C$44,Inputs!$C$43,V9*(1-Inputs!$C$48)+W8))</f>
        <v>9.74438831945038</v>
      </c>
      <c r="X9" s="33" t="n">
        <f aca="false">IF(X$3&lt;Inputs!$C$44,0,IF(X$3=Inputs!$C$44,Inputs!$C$43,W9*(1-Inputs!$C$48)+X8))</f>
        <v>10.2995005530614</v>
      </c>
      <c r="Y9" s="33" t="n">
        <f aca="false">IF(Y$3&lt;Inputs!$C$44,0,IF(Y$3=Inputs!$C$44,Inputs!$C$43,X9*(1-Inputs!$C$48)+Y8))</f>
        <v>10.8435105420001</v>
      </c>
      <c r="Z9" s="33" t="n">
        <f aca="false">IF(Z$3&lt;Inputs!$C$44,0,IF(Z$3=Inputs!$C$44,Inputs!$C$43,Y9*(1-Inputs!$C$48)+Z8))</f>
        <v>11.3766403311601</v>
      </c>
      <c r="AA9" s="33" t="n">
        <f aca="false">IF(AA$3&lt;Inputs!$C$44,0,IF(AA$3=Inputs!$C$44,Inputs!$C$43,Z9*(1-Inputs!$C$48)+AA8))</f>
        <v>12.1491075245369</v>
      </c>
      <c r="AB9" s="33" t="n">
        <f aca="false">IF(AB$3&lt;Inputs!$C$44,0,IF(AB$3=Inputs!$C$44,Inputs!$C$43,AA9*(1-Inputs!$C$48)+AB8))</f>
        <v>12.9061253740462</v>
      </c>
      <c r="AC9" s="33" t="n">
        <f aca="false">IF(AC$3&lt;Inputs!$C$44,0,IF(AC$3=Inputs!$C$44,Inputs!$C$43,AB9*(1-Inputs!$C$48)+AC8))</f>
        <v>13.6480028665653</v>
      </c>
      <c r="AD9" s="33" t="n">
        <f aca="false">IF(AD$3&lt;Inputs!$C$44,0,IF(AD$3=Inputs!$C$44,Inputs!$C$43,AC9*(1-Inputs!$C$48)+AD8))</f>
        <v>14.375042809234</v>
      </c>
      <c r="AE9" s="33" t="n">
        <f aca="false">IF(AE$3&lt;Inputs!$C$44,0,IF(AE$3=Inputs!$C$44,Inputs!$C$43,AD9*(1-Inputs!$C$48)+AE8))</f>
        <v>15.0875419530493</v>
      </c>
      <c r="AF9" s="33" t="n">
        <f aca="false">IF(AF$3&lt;Inputs!$C$44,0,IF(AF$3=Inputs!$C$44,Inputs!$C$43,AE9*(1-Inputs!$C$48)+AF8))</f>
        <v>15.7857911139883</v>
      </c>
      <c r="AG9" s="33" t="n">
        <f aca="false">IF(AG$3&lt;Inputs!$C$44,0,IF(AG$3=Inputs!$C$44,Inputs!$C$43,AF9*(1-Inputs!$C$48)+AG8))</f>
        <v>16.4700752917085</v>
      </c>
      <c r="AH9" s="33" t="n">
        <f aca="false">IF(AH$3&lt;Inputs!$C$44,0,IF(AH$3=Inputs!$C$44,Inputs!$C$43,AG9*(1-Inputs!$C$48)+AH8))</f>
        <v>17.1406737858744</v>
      </c>
      <c r="AI9" s="33" t="n">
        <f aca="false">IF(AI$3&lt;Inputs!$C$44,0,IF(AI$3=Inputs!$C$44,Inputs!$C$43,AH9*(1-Inputs!$C$48)+AI8))</f>
        <v>17.7978603101569</v>
      </c>
      <c r="AJ9" s="33" t="n">
        <f aca="false">IF(AJ$3&lt;Inputs!$C$44,0,IF(AJ$3=Inputs!$C$44,Inputs!$C$43,AI9*(1-Inputs!$C$48)+AJ8))</f>
        <v>18.4419031039537</v>
      </c>
      <c r="AK9" s="33" t="n">
        <f aca="false">IF(AK$3&lt;Inputs!$C$44,0,IF(AK$3=Inputs!$C$44,Inputs!$C$43,AJ9*(1-Inputs!$C$48)+AK8))</f>
        <v>19.0730650418747</v>
      </c>
      <c r="AL9" s="33" t="n">
        <f aca="false">IF(AL$3&lt;Inputs!$C$44,0,IF(AL$3=Inputs!$C$44,Inputs!$C$43,AK9*(1-Inputs!$C$48)+AL8))</f>
        <v>19.6916037410372</v>
      </c>
      <c r="AN9" s="46" t="n">
        <f aca="false">INDEX($C9:$AL9,1,12)</f>
        <v>4.2098216736</v>
      </c>
      <c r="AO9" s="46" t="n">
        <f aca="false">INDEX($C9:$AL9,1,24)</f>
        <v>11.3766403311601</v>
      </c>
      <c r="AP9" s="46" t="n">
        <f aca="false">INDEX($C9:$AL9,1,36)</f>
        <v>19.6916037410372</v>
      </c>
    </row>
    <row r="10" customFormat="false" ht="15" hidden="false" customHeight="false" outlineLevel="0" collapsed="false">
      <c r="A10" s="11" t="s">
        <v>313</v>
      </c>
      <c r="B10" s="14" t="s">
        <v>165</v>
      </c>
      <c r="C10" s="40" t="n">
        <f aca="false">C9*Inputs!$C$35</f>
        <v>0</v>
      </c>
      <c r="D10" s="40" t="n">
        <f aca="false">D9*Inputs!$C$35</f>
        <v>0</v>
      </c>
      <c r="E10" s="40" t="n">
        <f aca="false">E9*Inputs!$C$35</f>
        <v>0</v>
      </c>
      <c r="F10" s="40" t="n">
        <f aca="false">F9*Inputs!$C$35</f>
        <v>0</v>
      </c>
      <c r="G10" s="40" t="n">
        <f aca="false">G9*Inputs!$C$35</f>
        <v>0</v>
      </c>
      <c r="H10" s="40" t="n">
        <f aca="false">H9*Inputs!$C$35</f>
        <v>0</v>
      </c>
      <c r="I10" s="40" t="n">
        <f aca="false">I9*Inputs!$C$35</f>
        <v>7000</v>
      </c>
      <c r="J10" s="40" t="n">
        <f aca="false">J9*Inputs!$C$35</f>
        <v>8610</v>
      </c>
      <c r="K10" s="40" t="n">
        <f aca="false">K9*Inputs!$C$35</f>
        <v>10187.8</v>
      </c>
      <c r="L10" s="40" t="n">
        <f aca="false">L9*Inputs!$C$35</f>
        <v>11734.044</v>
      </c>
      <c r="M10" s="40" t="n">
        <f aca="false">M9*Inputs!$C$35</f>
        <v>13249.36312</v>
      </c>
      <c r="N10" s="40" t="n">
        <f aca="false">N9*Inputs!$C$35</f>
        <v>14734.3758576</v>
      </c>
      <c r="O10" s="40" t="n">
        <f aca="false">O9*Inputs!$C$35</f>
        <v>17064.688340448</v>
      </c>
      <c r="P10" s="40" t="n">
        <f aca="false">P9*Inputs!$C$35</f>
        <v>19348.394573639</v>
      </c>
      <c r="Q10" s="40" t="n">
        <f aca="false">Q9*Inputs!$C$35</f>
        <v>21586.4266821663</v>
      </c>
      <c r="R10" s="40" t="n">
        <f aca="false">R9*Inputs!$C$35</f>
        <v>23779.6981485229</v>
      </c>
      <c r="S10" s="40" t="n">
        <f aca="false">S9*Inputs!$C$35</f>
        <v>25929.1041855525</v>
      </c>
      <c r="T10" s="40" t="n">
        <f aca="false">T9*Inputs!$C$35</f>
        <v>28035.5221018414</v>
      </c>
      <c r="U10" s="40" t="n">
        <f aca="false">U9*Inputs!$C$35</f>
        <v>30099.8116598046</v>
      </c>
      <c r="V10" s="40" t="n">
        <f aca="false">V9*Inputs!$C$35</f>
        <v>32122.8154266085</v>
      </c>
      <c r="W10" s="40" t="n">
        <f aca="false">W9*Inputs!$C$35</f>
        <v>34105.3591180763</v>
      </c>
      <c r="X10" s="40" t="n">
        <f aca="false">X9*Inputs!$C$35</f>
        <v>36048.2519357148</v>
      </c>
      <c r="Y10" s="40" t="n">
        <f aca="false">Y9*Inputs!$C$35</f>
        <v>37952.2868970005</v>
      </c>
      <c r="Z10" s="40" t="n">
        <f aca="false">Z9*Inputs!$C$35</f>
        <v>39818.2411590605</v>
      </c>
      <c r="AA10" s="40" t="n">
        <f aca="false">AA9*Inputs!$C$35</f>
        <v>42521.8763358793</v>
      </c>
      <c r="AB10" s="40" t="n">
        <f aca="false">AB9*Inputs!$C$35</f>
        <v>45171.4388091617</v>
      </c>
      <c r="AC10" s="40" t="n">
        <f aca="false">AC9*Inputs!$C$35</f>
        <v>47768.0100329785</v>
      </c>
      <c r="AD10" s="40" t="n">
        <f aca="false">AD9*Inputs!$C$35</f>
        <v>50312.6498323189</v>
      </c>
      <c r="AE10" s="40" t="n">
        <f aca="false">AE9*Inputs!$C$35</f>
        <v>52806.3968356725</v>
      </c>
      <c r="AF10" s="40" t="n">
        <f aca="false">AF9*Inputs!$C$35</f>
        <v>55250.2688989591</v>
      </c>
      <c r="AG10" s="40" t="n">
        <f aca="false">AG9*Inputs!$C$35</f>
        <v>57645.2635209799</v>
      </c>
      <c r="AH10" s="40" t="n">
        <f aca="false">AH9*Inputs!$C$35</f>
        <v>59992.3582505603</v>
      </c>
      <c r="AI10" s="40" t="n">
        <f aca="false">AI9*Inputs!$C$35</f>
        <v>62292.5110855491</v>
      </c>
      <c r="AJ10" s="40" t="n">
        <f aca="false">AJ9*Inputs!$C$35</f>
        <v>64546.6608638381</v>
      </c>
      <c r="AK10" s="40" t="n">
        <f aca="false">AK9*Inputs!$C$35</f>
        <v>66755.7276465613</v>
      </c>
      <c r="AL10" s="40" t="n">
        <f aca="false">AL9*Inputs!$C$35</f>
        <v>68920.6130936301</v>
      </c>
      <c r="AN10" s="47" t="n">
        <f aca="false">SUMIF($C$4:$AL$4,1,$C10:$AL10)</f>
        <v>65515.5829776</v>
      </c>
      <c r="AO10" s="47" t="n">
        <f aca="false">SUMIF($C$4:$AL$4,2,$C10:$AL10)</f>
        <v>345890.600228435</v>
      </c>
      <c r="AP10" s="47" t="n">
        <f aca="false">SUMIF($C$4:$AL$4,3,$C10:$AL10)</f>
        <v>673983.775206089</v>
      </c>
    </row>
    <row r="12" customFormat="false" ht="15" hidden="false" customHeight="false" outlineLevel="0" collapsed="false">
      <c r="A12" s="9" t="s">
        <v>314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</row>
    <row r="13" customFormat="false" ht="15" hidden="false" customHeight="false" outlineLevel="0" collapsed="false">
      <c r="A13" s="11" t="s">
        <v>216</v>
      </c>
      <c r="B13" s="14" t="s">
        <v>315</v>
      </c>
      <c r="C13" s="37" t="n">
        <f aca="false">COUNTIF(Inputs!$C$51:$C$55,"&lt;="&amp;C$3)</f>
        <v>0</v>
      </c>
      <c r="D13" s="37" t="n">
        <f aca="false">COUNTIF(Inputs!$C$51:$C$55,"&lt;="&amp;D$3)</f>
        <v>0</v>
      </c>
      <c r="E13" s="37" t="n">
        <f aca="false">COUNTIF(Inputs!$C$51:$C$55,"&lt;="&amp;E$3)</f>
        <v>0</v>
      </c>
      <c r="F13" s="37" t="n">
        <f aca="false">COUNTIF(Inputs!$C$51:$C$55,"&lt;="&amp;F$3)</f>
        <v>0</v>
      </c>
      <c r="G13" s="37" t="n">
        <f aca="false">COUNTIF(Inputs!$C$51:$C$55,"&lt;="&amp;G$3)</f>
        <v>0</v>
      </c>
      <c r="H13" s="37" t="n">
        <f aca="false">COUNTIF(Inputs!$C$51:$C$55,"&lt;="&amp;H$3)</f>
        <v>0</v>
      </c>
      <c r="I13" s="37" t="n">
        <f aca="false">COUNTIF(Inputs!$C$51:$C$55,"&lt;="&amp;I$3)</f>
        <v>0</v>
      </c>
      <c r="J13" s="37" t="n">
        <f aca="false">COUNTIF(Inputs!$C$51:$C$55,"&lt;="&amp;J$3)</f>
        <v>0</v>
      </c>
      <c r="K13" s="37" t="n">
        <f aca="false">COUNTIF(Inputs!$C$51:$C$55,"&lt;="&amp;K$3)</f>
        <v>0</v>
      </c>
      <c r="L13" s="37" t="n">
        <f aca="false">COUNTIF(Inputs!$C$51:$C$55,"&lt;="&amp;L$3)</f>
        <v>0</v>
      </c>
      <c r="M13" s="37" t="n">
        <f aca="false">COUNTIF(Inputs!$C$51:$C$55,"&lt;="&amp;M$3)</f>
        <v>0</v>
      </c>
      <c r="N13" s="37" t="n">
        <f aca="false">COUNTIF(Inputs!$C$51:$C$55,"&lt;="&amp;N$3)</f>
        <v>0</v>
      </c>
      <c r="O13" s="37" t="n">
        <f aca="false">COUNTIF(Inputs!$C$51:$C$55,"&lt;="&amp;O$3)</f>
        <v>0</v>
      </c>
      <c r="P13" s="37" t="n">
        <f aca="false">COUNTIF(Inputs!$C$51:$C$55,"&lt;="&amp;P$3)</f>
        <v>0</v>
      </c>
      <c r="Q13" s="37" t="n">
        <f aca="false">COUNTIF(Inputs!$C$51:$C$55,"&lt;="&amp;Q$3)</f>
        <v>0</v>
      </c>
      <c r="R13" s="37" t="n">
        <f aca="false">COUNTIF(Inputs!$C$51:$C$55,"&lt;="&amp;R$3)</f>
        <v>0</v>
      </c>
      <c r="S13" s="37" t="n">
        <f aca="false">COUNTIF(Inputs!$C$51:$C$55,"&lt;="&amp;S$3)</f>
        <v>0</v>
      </c>
      <c r="T13" s="37" t="n">
        <f aca="false">COUNTIF(Inputs!$C$51:$C$55,"&lt;="&amp;T$3)</f>
        <v>1</v>
      </c>
      <c r="U13" s="37" t="n">
        <f aca="false">COUNTIF(Inputs!$C$51:$C$55,"&lt;="&amp;U$3)</f>
        <v>1</v>
      </c>
      <c r="V13" s="37" t="n">
        <f aca="false">COUNTIF(Inputs!$C$51:$C$55,"&lt;="&amp;V$3)</f>
        <v>1</v>
      </c>
      <c r="W13" s="37" t="n">
        <f aca="false">COUNTIF(Inputs!$C$51:$C$55,"&lt;="&amp;W$3)</f>
        <v>1</v>
      </c>
      <c r="X13" s="37" t="n">
        <f aca="false">COUNTIF(Inputs!$C$51:$C$55,"&lt;="&amp;X$3)</f>
        <v>1</v>
      </c>
      <c r="Y13" s="37" t="n">
        <f aca="false">COUNTIF(Inputs!$C$51:$C$55,"&lt;="&amp;Y$3)</f>
        <v>1</v>
      </c>
      <c r="Z13" s="37" t="n">
        <f aca="false">COUNTIF(Inputs!$C$51:$C$55,"&lt;="&amp;Z$3)</f>
        <v>1</v>
      </c>
      <c r="AA13" s="37" t="n">
        <f aca="false">COUNTIF(Inputs!$C$51:$C$55,"&lt;="&amp;AA$3)</f>
        <v>1</v>
      </c>
      <c r="AB13" s="37" t="n">
        <f aca="false">COUNTIF(Inputs!$C$51:$C$55,"&lt;="&amp;AB$3)</f>
        <v>1</v>
      </c>
      <c r="AC13" s="37" t="n">
        <f aca="false">COUNTIF(Inputs!$C$51:$C$55,"&lt;="&amp;AC$3)</f>
        <v>2</v>
      </c>
      <c r="AD13" s="37" t="n">
        <f aca="false">COUNTIF(Inputs!$C$51:$C$55,"&lt;="&amp;AD$3)</f>
        <v>2</v>
      </c>
      <c r="AE13" s="37" t="n">
        <f aca="false">COUNTIF(Inputs!$C$51:$C$55,"&lt;="&amp;AE$3)</f>
        <v>2</v>
      </c>
      <c r="AF13" s="37" t="n">
        <f aca="false">COUNTIF(Inputs!$C$51:$C$55,"&lt;="&amp;AF$3)</f>
        <v>2</v>
      </c>
      <c r="AG13" s="37" t="n">
        <f aca="false">COUNTIF(Inputs!$C$51:$C$55,"&lt;="&amp;AG$3)</f>
        <v>2</v>
      </c>
      <c r="AH13" s="37" t="n">
        <f aca="false">COUNTIF(Inputs!$C$51:$C$55,"&lt;="&amp;AH$3)</f>
        <v>2</v>
      </c>
      <c r="AI13" s="37" t="n">
        <f aca="false">COUNTIF(Inputs!$C$51:$C$55,"&lt;="&amp;AI$3)</f>
        <v>3</v>
      </c>
      <c r="AJ13" s="37" t="n">
        <f aca="false">COUNTIF(Inputs!$C$51:$C$55,"&lt;="&amp;AJ$3)</f>
        <v>3</v>
      </c>
      <c r="AK13" s="37" t="n">
        <f aca="false">COUNTIF(Inputs!$C$51:$C$55,"&lt;="&amp;AK$3)</f>
        <v>3</v>
      </c>
      <c r="AL13" s="37" t="n">
        <f aca="false">COUNTIF(Inputs!$C$51:$C$55,"&lt;="&amp;AL$3)</f>
        <v>3</v>
      </c>
      <c r="AN13" s="48" t="n">
        <f aca="false">INDEX($C13:$AL13,1,12)</f>
        <v>0</v>
      </c>
      <c r="AO13" s="48" t="n">
        <f aca="false">INDEX($C13:$AL13,1,24)</f>
        <v>1</v>
      </c>
      <c r="AP13" s="48" t="n">
        <f aca="false">INDEX($C13:$AL13,1,36)</f>
        <v>3</v>
      </c>
    </row>
    <row r="14" customFormat="false" ht="15" hidden="false" customHeight="false" outlineLevel="0" collapsed="false">
      <c r="A14" s="11" t="s">
        <v>316</v>
      </c>
      <c r="B14" s="14" t="s">
        <v>317</v>
      </c>
      <c r="C14" s="33" t="n">
        <f aca="false">C13*Inputs!$C$56</f>
        <v>0</v>
      </c>
      <c r="D14" s="33" t="n">
        <f aca="false">D13*Inputs!$C$56</f>
        <v>0</v>
      </c>
      <c r="E14" s="33" t="n">
        <f aca="false">E13*Inputs!$C$56</f>
        <v>0</v>
      </c>
      <c r="F14" s="33" t="n">
        <f aca="false">F13*Inputs!$C$56</f>
        <v>0</v>
      </c>
      <c r="G14" s="33" t="n">
        <f aca="false">G13*Inputs!$C$56</f>
        <v>0</v>
      </c>
      <c r="H14" s="33" t="n">
        <f aca="false">H13*Inputs!$C$56</f>
        <v>0</v>
      </c>
      <c r="I14" s="33" t="n">
        <f aca="false">I13*Inputs!$C$56</f>
        <v>0</v>
      </c>
      <c r="J14" s="33" t="n">
        <f aca="false">J13*Inputs!$C$56</f>
        <v>0</v>
      </c>
      <c r="K14" s="33" t="n">
        <f aca="false">K13*Inputs!$C$56</f>
        <v>0</v>
      </c>
      <c r="L14" s="33" t="n">
        <f aca="false">L13*Inputs!$C$56</f>
        <v>0</v>
      </c>
      <c r="M14" s="33" t="n">
        <f aca="false">M13*Inputs!$C$56</f>
        <v>0</v>
      </c>
      <c r="N14" s="33" t="n">
        <f aca="false">N13*Inputs!$C$56</f>
        <v>0</v>
      </c>
      <c r="O14" s="33" t="n">
        <f aca="false">O13*Inputs!$C$56</f>
        <v>0</v>
      </c>
      <c r="P14" s="33" t="n">
        <f aca="false">P13*Inputs!$C$56</f>
        <v>0</v>
      </c>
      <c r="Q14" s="33" t="n">
        <f aca="false">Q13*Inputs!$C$56</f>
        <v>0</v>
      </c>
      <c r="R14" s="33" t="n">
        <f aca="false">R13*Inputs!$C$56</f>
        <v>0</v>
      </c>
      <c r="S14" s="33" t="n">
        <f aca="false">S13*Inputs!$C$56</f>
        <v>0</v>
      </c>
      <c r="T14" s="33" t="n">
        <f aca="false">T13*Inputs!$C$56</f>
        <v>0.5</v>
      </c>
      <c r="U14" s="33" t="n">
        <f aca="false">U13*Inputs!$C$56</f>
        <v>0.5</v>
      </c>
      <c r="V14" s="33" t="n">
        <f aca="false">V13*Inputs!$C$56</f>
        <v>0.5</v>
      </c>
      <c r="W14" s="33" t="n">
        <f aca="false">W13*Inputs!$C$56</f>
        <v>0.5</v>
      </c>
      <c r="X14" s="33" t="n">
        <f aca="false">X13*Inputs!$C$56</f>
        <v>0.5</v>
      </c>
      <c r="Y14" s="33" t="n">
        <f aca="false">Y13*Inputs!$C$56</f>
        <v>0.5</v>
      </c>
      <c r="Z14" s="33" t="n">
        <f aca="false">Z13*Inputs!$C$56</f>
        <v>0.5</v>
      </c>
      <c r="AA14" s="33" t="n">
        <f aca="false">AA13*Inputs!$C$56</f>
        <v>0.5</v>
      </c>
      <c r="AB14" s="33" t="n">
        <f aca="false">AB13*Inputs!$C$56</f>
        <v>0.5</v>
      </c>
      <c r="AC14" s="33" t="n">
        <f aca="false">AC13*Inputs!$C$56</f>
        <v>1</v>
      </c>
      <c r="AD14" s="33" t="n">
        <f aca="false">AD13*Inputs!$C$56</f>
        <v>1</v>
      </c>
      <c r="AE14" s="33" t="n">
        <f aca="false">AE13*Inputs!$C$56</f>
        <v>1</v>
      </c>
      <c r="AF14" s="33" t="n">
        <f aca="false">AF13*Inputs!$C$56</f>
        <v>1</v>
      </c>
      <c r="AG14" s="33" t="n">
        <f aca="false">AG13*Inputs!$C$56</f>
        <v>1</v>
      </c>
      <c r="AH14" s="33" t="n">
        <f aca="false">AH13*Inputs!$C$56</f>
        <v>1</v>
      </c>
      <c r="AI14" s="33" t="n">
        <f aca="false">AI13*Inputs!$C$56</f>
        <v>1.5</v>
      </c>
      <c r="AJ14" s="33" t="n">
        <f aca="false">AJ13*Inputs!$C$56</f>
        <v>1.5</v>
      </c>
      <c r="AK14" s="33" t="n">
        <f aca="false">AK13*Inputs!$C$56</f>
        <v>1.5</v>
      </c>
      <c r="AL14" s="33" t="n">
        <f aca="false">AL13*Inputs!$C$56</f>
        <v>1.5</v>
      </c>
      <c r="AN14" s="46" t="n">
        <f aca="false">SUMIF($C$4:$AL$4,1,$C14:$AL14)</f>
        <v>0</v>
      </c>
      <c r="AO14" s="46" t="n">
        <f aca="false">SUMIF($C$4:$AL$4,2,$C14:$AL14)</f>
        <v>3.5</v>
      </c>
      <c r="AP14" s="46" t="n">
        <f aca="false">SUMIF($C$4:$AL$4,3,$C14:$AL14)</f>
        <v>13</v>
      </c>
    </row>
    <row r="15" customFormat="false" ht="15" hidden="false" customHeight="false" outlineLevel="0" collapsed="false">
      <c r="A15" s="11" t="s">
        <v>318</v>
      </c>
      <c r="B15" s="14" t="s">
        <v>317</v>
      </c>
      <c r="C15" s="33" t="n">
        <f aca="false">IF(C$3&gt;Inputs!$C$57,INDEX($C$14:$AL$14,1,C$3-Inputs!$C$57),0)</f>
        <v>0</v>
      </c>
      <c r="D15" s="33" t="n">
        <f aca="false">IF(D$3&gt;Inputs!$C$57,INDEX($C$14:$AL$14,1,D$3-Inputs!$C$57),0)</f>
        <v>0</v>
      </c>
      <c r="E15" s="33" t="n">
        <f aca="false">IF(E$3&gt;Inputs!$C$57,INDEX($C$14:$AL$14,1,E$3-Inputs!$C$57),0)</f>
        <v>0</v>
      </c>
      <c r="F15" s="33" t="n">
        <f aca="false">IF(F$3&gt;Inputs!$C$57,INDEX($C$14:$AL$14,1,F$3-Inputs!$C$57),0)</f>
        <v>0</v>
      </c>
      <c r="G15" s="33" t="n">
        <f aca="false">IF(G$3&gt;Inputs!$C$57,INDEX($C$14:$AL$14,1,G$3-Inputs!$C$57),0)</f>
        <v>0</v>
      </c>
      <c r="H15" s="33" t="n">
        <f aca="false">IF(H$3&gt;Inputs!$C$57,INDEX($C$14:$AL$14,1,H$3-Inputs!$C$57),0)</f>
        <v>0</v>
      </c>
      <c r="I15" s="33" t="n">
        <f aca="false">IF(I$3&gt;Inputs!$C$57,INDEX($C$14:$AL$14,1,I$3-Inputs!$C$57),0)</f>
        <v>0</v>
      </c>
      <c r="J15" s="33" t="n">
        <f aca="false">IF(J$3&gt;Inputs!$C$57,INDEX($C$14:$AL$14,1,J$3-Inputs!$C$57),0)</f>
        <v>0</v>
      </c>
      <c r="K15" s="33" t="n">
        <f aca="false">IF(K$3&gt;Inputs!$C$57,INDEX($C$14:$AL$14,1,K$3-Inputs!$C$57),0)</f>
        <v>0</v>
      </c>
      <c r="L15" s="33" t="n">
        <f aca="false">IF(L$3&gt;Inputs!$C$57,INDEX($C$14:$AL$14,1,L$3-Inputs!$C$57),0)</f>
        <v>0</v>
      </c>
      <c r="M15" s="33" t="n">
        <f aca="false">IF(M$3&gt;Inputs!$C$57,INDEX($C$14:$AL$14,1,M$3-Inputs!$C$57),0)</f>
        <v>0</v>
      </c>
      <c r="N15" s="33" t="n">
        <f aca="false">IF(N$3&gt;Inputs!$C$57,INDEX($C$14:$AL$14,1,N$3-Inputs!$C$57),0)</f>
        <v>0</v>
      </c>
      <c r="O15" s="33" t="n">
        <f aca="false">IF(O$3&gt;Inputs!$C$57,INDEX($C$14:$AL$14,1,O$3-Inputs!$C$57),0)</f>
        <v>0</v>
      </c>
      <c r="P15" s="33" t="n">
        <f aca="false">IF(P$3&gt;Inputs!$C$57,INDEX($C$14:$AL$14,1,P$3-Inputs!$C$57),0)</f>
        <v>0</v>
      </c>
      <c r="Q15" s="33" t="n">
        <f aca="false">IF(Q$3&gt;Inputs!$C$57,INDEX($C$14:$AL$14,1,Q$3-Inputs!$C$57),0)</f>
        <v>0</v>
      </c>
      <c r="R15" s="33" t="n">
        <f aca="false">IF(R$3&gt;Inputs!$C$57,INDEX($C$14:$AL$14,1,R$3-Inputs!$C$57),0)</f>
        <v>0</v>
      </c>
      <c r="S15" s="33" t="n">
        <f aca="false">IF(S$3&gt;Inputs!$C$57,INDEX($C$14:$AL$14,1,S$3-Inputs!$C$57),0)</f>
        <v>0</v>
      </c>
      <c r="T15" s="33" t="n">
        <f aca="false">IF(T$3&gt;Inputs!$C$57,INDEX($C$14:$AL$14,1,T$3-Inputs!$C$57),0)</f>
        <v>0</v>
      </c>
      <c r="U15" s="33" t="n">
        <f aca="false">IF(U$3&gt;Inputs!$C$57,INDEX($C$14:$AL$14,1,U$3-Inputs!$C$57),0)</f>
        <v>0</v>
      </c>
      <c r="V15" s="33" t="n">
        <f aca="false">IF(V$3&gt;Inputs!$C$57,INDEX($C$14:$AL$14,1,V$3-Inputs!$C$57),0)</f>
        <v>0</v>
      </c>
      <c r="W15" s="33" t="n">
        <f aca="false">IF(W$3&gt;Inputs!$C$57,INDEX($C$14:$AL$14,1,W$3-Inputs!$C$57),0)</f>
        <v>0</v>
      </c>
      <c r="X15" s="33" t="n">
        <f aca="false">IF(X$3&gt;Inputs!$C$57,INDEX($C$14:$AL$14,1,X$3-Inputs!$C$57),0)</f>
        <v>0</v>
      </c>
      <c r="Y15" s="33" t="n">
        <f aca="false">IF(Y$3&gt;Inputs!$C$57,INDEX($C$14:$AL$14,1,Y$3-Inputs!$C$57),0)</f>
        <v>0</v>
      </c>
      <c r="Z15" s="33" t="n">
        <f aca="false">IF(Z$3&gt;Inputs!$C$57,INDEX($C$14:$AL$14,1,Z$3-Inputs!$C$57),0)</f>
        <v>0</v>
      </c>
      <c r="AA15" s="33" t="n">
        <f aca="false">IF(AA$3&gt;Inputs!$C$57,INDEX($C$14:$AL$14,1,AA$3-Inputs!$C$57),0)</f>
        <v>0</v>
      </c>
      <c r="AB15" s="33" t="n">
        <f aca="false">IF(AB$3&gt;Inputs!$C$57,INDEX($C$14:$AL$14,1,AB$3-Inputs!$C$57),0)</f>
        <v>0</v>
      </c>
      <c r="AC15" s="33" t="n">
        <f aca="false">IF(AC$3&gt;Inputs!$C$57,INDEX($C$14:$AL$14,1,AC$3-Inputs!$C$57),0)</f>
        <v>0</v>
      </c>
      <c r="AD15" s="33" t="n">
        <f aca="false">IF(AD$3&gt;Inputs!$C$57,INDEX($C$14:$AL$14,1,AD$3-Inputs!$C$57),0)</f>
        <v>0</v>
      </c>
      <c r="AE15" s="33" t="n">
        <f aca="false">IF(AE$3&gt;Inputs!$C$57,INDEX($C$14:$AL$14,1,AE$3-Inputs!$C$57),0)</f>
        <v>0</v>
      </c>
      <c r="AF15" s="33" t="n">
        <f aca="false">IF(AF$3&gt;Inputs!$C$57,INDEX($C$14:$AL$14,1,AF$3-Inputs!$C$57),0)</f>
        <v>0</v>
      </c>
      <c r="AG15" s="33" t="n">
        <f aca="false">IF(AG$3&gt;Inputs!$C$57,INDEX($C$14:$AL$14,1,AG$3-Inputs!$C$57),0)</f>
        <v>0</v>
      </c>
      <c r="AH15" s="33" t="n">
        <f aca="false">IF(AH$3&gt;Inputs!$C$57,INDEX($C$14:$AL$14,1,AH$3-Inputs!$C$57),0)</f>
        <v>0</v>
      </c>
      <c r="AI15" s="33" t="n">
        <f aca="false">IF(AI$3&gt;Inputs!$C$57,INDEX($C$14:$AL$14,1,AI$3-Inputs!$C$57),0)</f>
        <v>0</v>
      </c>
      <c r="AJ15" s="33" t="n">
        <f aca="false">IF(AJ$3&gt;Inputs!$C$57,INDEX($C$14:$AL$14,1,AJ$3-Inputs!$C$57),0)</f>
        <v>0</v>
      </c>
      <c r="AK15" s="33" t="n">
        <f aca="false">IF(AK$3&gt;Inputs!$C$57,INDEX($C$14:$AL$14,1,AK$3-Inputs!$C$57),0)</f>
        <v>0</v>
      </c>
      <c r="AL15" s="33" t="n">
        <f aca="false">IF(AL$3&gt;Inputs!$C$57,INDEX($C$14:$AL$14,1,AL$3-Inputs!$C$57),0)</f>
        <v>0</v>
      </c>
      <c r="AN15" s="46" t="n">
        <f aca="false">SUMIF($C$4:$AL$4,1,$C15:$AL15)</f>
        <v>0</v>
      </c>
      <c r="AO15" s="46" t="n">
        <f aca="false">SUMIF($C$4:$AL$4,2,$C15:$AL15)</f>
        <v>0</v>
      </c>
      <c r="AP15" s="46" t="n">
        <f aca="false">SUMIF($C$4:$AL$4,3,$C15:$AL15)</f>
        <v>0</v>
      </c>
    </row>
    <row r="16" customFormat="false" ht="15" hidden="false" customHeight="false" outlineLevel="0" collapsed="false">
      <c r="A16" s="11" t="s">
        <v>319</v>
      </c>
      <c r="B16" s="14" t="s">
        <v>317</v>
      </c>
      <c r="C16" s="33" t="n">
        <f aca="false">C14-C15</f>
        <v>0</v>
      </c>
      <c r="D16" s="33" t="n">
        <f aca="false">C16+D14-D15</f>
        <v>0</v>
      </c>
      <c r="E16" s="33" t="n">
        <f aca="false">D16+E14-E15</f>
        <v>0</v>
      </c>
      <c r="F16" s="33" t="n">
        <f aca="false">E16+F14-F15</f>
        <v>0</v>
      </c>
      <c r="G16" s="33" t="n">
        <f aca="false">F16+G14-G15</f>
        <v>0</v>
      </c>
      <c r="H16" s="33" t="n">
        <f aca="false">G16+H14-H15</f>
        <v>0</v>
      </c>
      <c r="I16" s="33" t="n">
        <f aca="false">H16+I14-I15</f>
        <v>0</v>
      </c>
      <c r="J16" s="33" t="n">
        <f aca="false">I16+J14-J15</f>
        <v>0</v>
      </c>
      <c r="K16" s="33" t="n">
        <f aca="false">J16+K14-K15</f>
        <v>0</v>
      </c>
      <c r="L16" s="33" t="n">
        <f aca="false">K16+L14-L15</f>
        <v>0</v>
      </c>
      <c r="M16" s="33" t="n">
        <f aca="false">L16+M14-M15</f>
        <v>0</v>
      </c>
      <c r="N16" s="33" t="n">
        <f aca="false">M16+N14-N15</f>
        <v>0</v>
      </c>
      <c r="O16" s="33" t="n">
        <f aca="false">N16+O14-O15</f>
        <v>0</v>
      </c>
      <c r="P16" s="33" t="n">
        <f aca="false">O16+P14-P15</f>
        <v>0</v>
      </c>
      <c r="Q16" s="33" t="n">
        <f aca="false">P16+Q14-Q15</f>
        <v>0</v>
      </c>
      <c r="R16" s="33" t="n">
        <f aca="false">Q16+R14-R15</f>
        <v>0</v>
      </c>
      <c r="S16" s="33" t="n">
        <f aca="false">R16+S14-S15</f>
        <v>0</v>
      </c>
      <c r="T16" s="33" t="n">
        <f aca="false">S16+T14-T15</f>
        <v>0.5</v>
      </c>
      <c r="U16" s="33" t="n">
        <f aca="false">T16+U14-U15</f>
        <v>1</v>
      </c>
      <c r="V16" s="33" t="n">
        <f aca="false">U16+V14-V15</f>
        <v>1.5</v>
      </c>
      <c r="W16" s="33" t="n">
        <f aca="false">V16+W14-W15</f>
        <v>2</v>
      </c>
      <c r="X16" s="33" t="n">
        <f aca="false">W16+X14-X15</f>
        <v>2.5</v>
      </c>
      <c r="Y16" s="33" t="n">
        <f aca="false">X16+Y14-Y15</f>
        <v>3</v>
      </c>
      <c r="Z16" s="33" t="n">
        <f aca="false">Y16+Z14-Z15</f>
        <v>3.5</v>
      </c>
      <c r="AA16" s="33" t="n">
        <f aca="false">Z16+AA14-AA15</f>
        <v>4</v>
      </c>
      <c r="AB16" s="33" t="n">
        <f aca="false">AA16+AB14-AB15</f>
        <v>4.5</v>
      </c>
      <c r="AC16" s="33" t="n">
        <f aca="false">AB16+AC14-AC15</f>
        <v>5.5</v>
      </c>
      <c r="AD16" s="33" t="n">
        <f aca="false">AC16+AD14-AD15</f>
        <v>6.5</v>
      </c>
      <c r="AE16" s="33" t="n">
        <f aca="false">AD16+AE14-AE15</f>
        <v>7.5</v>
      </c>
      <c r="AF16" s="33" t="n">
        <f aca="false">AE16+AF14-AF15</f>
        <v>8.5</v>
      </c>
      <c r="AG16" s="33" t="n">
        <f aca="false">AF16+AG14-AG15</f>
        <v>9.5</v>
      </c>
      <c r="AH16" s="33" t="n">
        <f aca="false">AG16+AH14-AH15</f>
        <v>10.5</v>
      </c>
      <c r="AI16" s="33" t="n">
        <f aca="false">AH16+AI14-AI15</f>
        <v>12</v>
      </c>
      <c r="AJ16" s="33" t="n">
        <f aca="false">AI16+AJ14-AJ15</f>
        <v>13.5</v>
      </c>
      <c r="AK16" s="33" t="n">
        <f aca="false">AJ16+AK14-AK15</f>
        <v>15</v>
      </c>
      <c r="AL16" s="33" t="n">
        <f aca="false">AK16+AL14-AL15</f>
        <v>16.5</v>
      </c>
      <c r="AN16" s="46" t="n">
        <f aca="false">INDEX($C16:$AL16,1,12)</f>
        <v>0</v>
      </c>
      <c r="AO16" s="46" t="n">
        <f aca="false">INDEX($C16:$AL16,1,24)</f>
        <v>3.5</v>
      </c>
      <c r="AP16" s="46" t="n">
        <f aca="false">INDEX($C16:$AL16,1,36)</f>
        <v>16.5</v>
      </c>
    </row>
    <row r="17" customFormat="false" ht="15" hidden="false" customHeight="false" outlineLevel="0" collapsed="false">
      <c r="A17" s="11" t="s">
        <v>320</v>
      </c>
      <c r="B17" s="14" t="s">
        <v>86</v>
      </c>
      <c r="C17" s="40" t="n">
        <f aca="false">MIN(MAX(Inputs!$C$39*1000000*Inputs!$C$36/10000/12,Inputs!$C$37),Inputs!$C$38)</f>
        <v>3500</v>
      </c>
      <c r="D17" s="40" t="n">
        <f aca="false">MIN(MAX(Inputs!$C$39*1000000*Inputs!$C$36/10000/12,Inputs!$C$37),Inputs!$C$38)</f>
        <v>3500</v>
      </c>
      <c r="E17" s="40" t="n">
        <f aca="false">MIN(MAX(Inputs!$C$39*1000000*Inputs!$C$36/10000/12,Inputs!$C$37),Inputs!$C$38)</f>
        <v>3500</v>
      </c>
      <c r="F17" s="40" t="n">
        <f aca="false">MIN(MAX(Inputs!$C$39*1000000*Inputs!$C$36/10000/12,Inputs!$C$37),Inputs!$C$38)</f>
        <v>3500</v>
      </c>
      <c r="G17" s="40" t="n">
        <f aca="false">MIN(MAX(Inputs!$C$39*1000000*Inputs!$C$36/10000/12,Inputs!$C$37),Inputs!$C$38)</f>
        <v>3500</v>
      </c>
      <c r="H17" s="40" t="n">
        <f aca="false">MIN(MAX(Inputs!$C$39*1000000*Inputs!$C$36/10000/12,Inputs!$C$37),Inputs!$C$38)</f>
        <v>3500</v>
      </c>
      <c r="I17" s="40" t="n">
        <f aca="false">MIN(MAX(Inputs!$C$39*1000000*Inputs!$C$36/10000/12,Inputs!$C$37),Inputs!$C$38)</f>
        <v>3500</v>
      </c>
      <c r="J17" s="40" t="n">
        <f aca="false">MIN(MAX(Inputs!$C$39*1000000*Inputs!$C$36/10000/12,Inputs!$C$37),Inputs!$C$38)</f>
        <v>3500</v>
      </c>
      <c r="K17" s="40" t="n">
        <f aca="false">MIN(MAX(Inputs!$C$39*1000000*Inputs!$C$36/10000/12,Inputs!$C$37),Inputs!$C$38)</f>
        <v>3500</v>
      </c>
      <c r="L17" s="40" t="n">
        <f aca="false">MIN(MAX(Inputs!$C$39*1000000*Inputs!$C$36/10000/12,Inputs!$C$37),Inputs!$C$38)</f>
        <v>3500</v>
      </c>
      <c r="M17" s="40" t="n">
        <f aca="false">MIN(MAX(Inputs!$C$39*1000000*Inputs!$C$36/10000/12,Inputs!$C$37),Inputs!$C$38)</f>
        <v>3500</v>
      </c>
      <c r="N17" s="40" t="n">
        <f aca="false">MIN(MAX(Inputs!$C$39*1000000*Inputs!$C$36/10000/12,Inputs!$C$37),Inputs!$C$38)</f>
        <v>3500</v>
      </c>
      <c r="O17" s="40" t="n">
        <f aca="false">MIN(MAX(Inputs!$C$39*1000000*Inputs!$C$36/10000/12,Inputs!$C$37),Inputs!$C$38)</f>
        <v>3500</v>
      </c>
      <c r="P17" s="40" t="n">
        <f aca="false">MIN(MAX(Inputs!$C$39*1000000*Inputs!$C$36/10000/12,Inputs!$C$37),Inputs!$C$38)</f>
        <v>3500</v>
      </c>
      <c r="Q17" s="40" t="n">
        <f aca="false">MIN(MAX(Inputs!$C$39*1000000*Inputs!$C$36/10000/12,Inputs!$C$37),Inputs!$C$38)</f>
        <v>3500</v>
      </c>
      <c r="R17" s="40" t="n">
        <f aca="false">MIN(MAX(Inputs!$C$39*1000000*Inputs!$C$36/10000/12,Inputs!$C$37),Inputs!$C$38)</f>
        <v>3500</v>
      </c>
      <c r="S17" s="40" t="n">
        <f aca="false">MIN(MAX(Inputs!$C$39*1000000*Inputs!$C$36/10000/12,Inputs!$C$37),Inputs!$C$38)</f>
        <v>3500</v>
      </c>
      <c r="T17" s="40" t="n">
        <f aca="false">MIN(MAX(Inputs!$C$39*1000000*Inputs!$C$36/10000/12,Inputs!$C$37),Inputs!$C$38)</f>
        <v>3500</v>
      </c>
      <c r="U17" s="40" t="n">
        <f aca="false">MIN(MAX(Inputs!$C$39*1000000*Inputs!$C$36/10000/12,Inputs!$C$37),Inputs!$C$38)</f>
        <v>3500</v>
      </c>
      <c r="V17" s="40" t="n">
        <f aca="false">MIN(MAX(Inputs!$C$39*1000000*Inputs!$C$36/10000/12,Inputs!$C$37),Inputs!$C$38)</f>
        <v>3500</v>
      </c>
      <c r="W17" s="40" t="n">
        <f aca="false">MIN(MAX(Inputs!$C$39*1000000*Inputs!$C$36/10000/12,Inputs!$C$37),Inputs!$C$38)</f>
        <v>3500</v>
      </c>
      <c r="X17" s="40" t="n">
        <f aca="false">MIN(MAX(Inputs!$C$39*1000000*Inputs!$C$36/10000/12,Inputs!$C$37),Inputs!$C$38)</f>
        <v>3500</v>
      </c>
      <c r="Y17" s="40" t="n">
        <f aca="false">MIN(MAX(Inputs!$C$39*1000000*Inputs!$C$36/10000/12,Inputs!$C$37),Inputs!$C$38)</f>
        <v>3500</v>
      </c>
      <c r="Z17" s="40" t="n">
        <f aca="false">MIN(MAX(Inputs!$C$39*1000000*Inputs!$C$36/10000/12,Inputs!$C$37),Inputs!$C$38)</f>
        <v>3500</v>
      </c>
      <c r="AA17" s="40" t="n">
        <f aca="false">MIN(MAX(Inputs!$C$39*1000000*Inputs!$C$36/10000/12,Inputs!$C$37),Inputs!$C$38)</f>
        <v>3500</v>
      </c>
      <c r="AB17" s="40" t="n">
        <f aca="false">MIN(MAX(Inputs!$C$39*1000000*Inputs!$C$36/10000/12,Inputs!$C$37),Inputs!$C$38)</f>
        <v>3500</v>
      </c>
      <c r="AC17" s="40" t="n">
        <f aca="false">MIN(MAX(Inputs!$C$39*1000000*Inputs!$C$36/10000/12,Inputs!$C$37),Inputs!$C$38)</f>
        <v>3500</v>
      </c>
      <c r="AD17" s="40" t="n">
        <f aca="false">MIN(MAX(Inputs!$C$39*1000000*Inputs!$C$36/10000/12,Inputs!$C$37),Inputs!$C$38)</f>
        <v>3500</v>
      </c>
      <c r="AE17" s="40" t="n">
        <f aca="false">MIN(MAX(Inputs!$C$39*1000000*Inputs!$C$36/10000/12,Inputs!$C$37),Inputs!$C$38)</f>
        <v>3500</v>
      </c>
      <c r="AF17" s="40" t="n">
        <f aca="false">MIN(MAX(Inputs!$C$39*1000000*Inputs!$C$36/10000/12,Inputs!$C$37),Inputs!$C$38)</f>
        <v>3500</v>
      </c>
      <c r="AG17" s="40" t="n">
        <f aca="false">MIN(MAX(Inputs!$C$39*1000000*Inputs!$C$36/10000/12,Inputs!$C$37),Inputs!$C$38)</f>
        <v>3500</v>
      </c>
      <c r="AH17" s="40" t="n">
        <f aca="false">MIN(MAX(Inputs!$C$39*1000000*Inputs!$C$36/10000/12,Inputs!$C$37),Inputs!$C$38)</f>
        <v>3500</v>
      </c>
      <c r="AI17" s="40" t="n">
        <f aca="false">MIN(MAX(Inputs!$C$39*1000000*Inputs!$C$36/10000/12,Inputs!$C$37),Inputs!$C$38)</f>
        <v>3500</v>
      </c>
      <c r="AJ17" s="40" t="n">
        <f aca="false">MIN(MAX(Inputs!$C$39*1000000*Inputs!$C$36/10000/12,Inputs!$C$37),Inputs!$C$38)</f>
        <v>3500</v>
      </c>
      <c r="AK17" s="40" t="n">
        <f aca="false">MIN(MAX(Inputs!$C$39*1000000*Inputs!$C$36/10000/12,Inputs!$C$37),Inputs!$C$38)</f>
        <v>3500</v>
      </c>
      <c r="AL17" s="40" t="n">
        <f aca="false">MIN(MAX(Inputs!$C$39*1000000*Inputs!$C$36/10000/12,Inputs!$C$37),Inputs!$C$38)</f>
        <v>3500</v>
      </c>
      <c r="AN17" s="47" t="n">
        <f aca="false">INDEX($C17:$AL17,1,12)</f>
        <v>3500</v>
      </c>
      <c r="AO17" s="47" t="n">
        <f aca="false">INDEX($C17:$AL17,1,24)</f>
        <v>3500</v>
      </c>
      <c r="AP17" s="47" t="n">
        <f aca="false">INDEX($C17:$AL17,1,36)</f>
        <v>3500</v>
      </c>
    </row>
    <row r="18" customFormat="false" ht="15" hidden="false" customHeight="false" outlineLevel="0" collapsed="false">
      <c r="A18" s="11" t="s">
        <v>321</v>
      </c>
      <c r="B18" s="14" t="s">
        <v>165</v>
      </c>
      <c r="C18" s="40" t="n">
        <f aca="false">C16*C17</f>
        <v>0</v>
      </c>
      <c r="D18" s="40" t="n">
        <f aca="false">D16*D17</f>
        <v>0</v>
      </c>
      <c r="E18" s="40" t="n">
        <f aca="false">E16*E17</f>
        <v>0</v>
      </c>
      <c r="F18" s="40" t="n">
        <f aca="false">F16*F17</f>
        <v>0</v>
      </c>
      <c r="G18" s="40" t="n">
        <f aca="false">G16*G17</f>
        <v>0</v>
      </c>
      <c r="H18" s="40" t="n">
        <f aca="false">H16*H17</f>
        <v>0</v>
      </c>
      <c r="I18" s="40" t="n">
        <f aca="false">I16*I17</f>
        <v>0</v>
      </c>
      <c r="J18" s="40" t="n">
        <f aca="false">J16*J17</f>
        <v>0</v>
      </c>
      <c r="K18" s="40" t="n">
        <f aca="false">K16*K17</f>
        <v>0</v>
      </c>
      <c r="L18" s="40" t="n">
        <f aca="false">L16*L17</f>
        <v>0</v>
      </c>
      <c r="M18" s="40" t="n">
        <f aca="false">M16*M17</f>
        <v>0</v>
      </c>
      <c r="N18" s="40" t="n">
        <f aca="false">N16*N17</f>
        <v>0</v>
      </c>
      <c r="O18" s="40" t="n">
        <f aca="false">O16*O17</f>
        <v>0</v>
      </c>
      <c r="P18" s="40" t="n">
        <f aca="false">P16*P17</f>
        <v>0</v>
      </c>
      <c r="Q18" s="40" t="n">
        <f aca="false">Q16*Q17</f>
        <v>0</v>
      </c>
      <c r="R18" s="40" t="n">
        <f aca="false">R16*R17</f>
        <v>0</v>
      </c>
      <c r="S18" s="40" t="n">
        <f aca="false">S16*S17</f>
        <v>0</v>
      </c>
      <c r="T18" s="40" t="n">
        <f aca="false">T16*T17</f>
        <v>1750</v>
      </c>
      <c r="U18" s="40" t="n">
        <f aca="false">U16*U17</f>
        <v>3500</v>
      </c>
      <c r="V18" s="40" t="n">
        <f aca="false">V16*V17</f>
        <v>5250</v>
      </c>
      <c r="W18" s="40" t="n">
        <f aca="false">W16*W17</f>
        <v>7000</v>
      </c>
      <c r="X18" s="40" t="n">
        <f aca="false">X16*X17</f>
        <v>8750</v>
      </c>
      <c r="Y18" s="40" t="n">
        <f aca="false">Y16*Y17</f>
        <v>10500</v>
      </c>
      <c r="Z18" s="40" t="n">
        <f aca="false">Z16*Z17</f>
        <v>12250</v>
      </c>
      <c r="AA18" s="40" t="n">
        <f aca="false">AA16*AA17</f>
        <v>14000</v>
      </c>
      <c r="AB18" s="40" t="n">
        <f aca="false">AB16*AB17</f>
        <v>15750</v>
      </c>
      <c r="AC18" s="40" t="n">
        <f aca="false">AC16*AC17</f>
        <v>19250</v>
      </c>
      <c r="AD18" s="40" t="n">
        <f aca="false">AD16*AD17</f>
        <v>22750</v>
      </c>
      <c r="AE18" s="40" t="n">
        <f aca="false">AE16*AE17</f>
        <v>26250</v>
      </c>
      <c r="AF18" s="40" t="n">
        <f aca="false">AF16*AF17</f>
        <v>29750</v>
      </c>
      <c r="AG18" s="40" t="n">
        <f aca="false">AG16*AG17</f>
        <v>33250</v>
      </c>
      <c r="AH18" s="40" t="n">
        <f aca="false">AH16*AH17</f>
        <v>36750</v>
      </c>
      <c r="AI18" s="40" t="n">
        <f aca="false">AI16*AI17</f>
        <v>42000</v>
      </c>
      <c r="AJ18" s="40" t="n">
        <f aca="false">AJ16*AJ17</f>
        <v>47250</v>
      </c>
      <c r="AK18" s="40" t="n">
        <f aca="false">AK16*AK17</f>
        <v>52500</v>
      </c>
      <c r="AL18" s="40" t="n">
        <f aca="false">AL16*AL17</f>
        <v>57750</v>
      </c>
      <c r="AN18" s="47" t="n">
        <f aca="false">SUMIF($C$4:$AL$4,1,$C18:$AL18)</f>
        <v>0</v>
      </c>
      <c r="AO18" s="47" t="n">
        <f aca="false">SUMIF($C$4:$AL$4,2,$C18:$AL18)</f>
        <v>49000</v>
      </c>
      <c r="AP18" s="47" t="n">
        <f aca="false">SUMIF($C$4:$AL$4,3,$C18:$AL18)</f>
        <v>397250</v>
      </c>
    </row>
    <row r="20" customFormat="false" ht="15" hidden="false" customHeight="false" outlineLevel="0" collapsed="false">
      <c r="A20" s="23" t="s">
        <v>202</v>
      </c>
      <c r="B20" s="14" t="s">
        <v>165</v>
      </c>
      <c r="C20" s="49" t="n">
        <f aca="false">C10+C18</f>
        <v>0</v>
      </c>
      <c r="D20" s="49" t="n">
        <f aca="false">D10+D18</f>
        <v>0</v>
      </c>
      <c r="E20" s="49" t="n">
        <f aca="false">E10+E18</f>
        <v>0</v>
      </c>
      <c r="F20" s="49" t="n">
        <f aca="false">F10+F18</f>
        <v>0</v>
      </c>
      <c r="G20" s="49" t="n">
        <f aca="false">G10+G18</f>
        <v>0</v>
      </c>
      <c r="H20" s="49" t="n">
        <f aca="false">H10+H18</f>
        <v>0</v>
      </c>
      <c r="I20" s="49" t="n">
        <f aca="false">I10+I18</f>
        <v>7000</v>
      </c>
      <c r="J20" s="49" t="n">
        <f aca="false">J10+J18</f>
        <v>8610</v>
      </c>
      <c r="K20" s="49" t="n">
        <f aca="false">K10+K18</f>
        <v>10187.8</v>
      </c>
      <c r="L20" s="49" t="n">
        <f aca="false">L10+L18</f>
        <v>11734.044</v>
      </c>
      <c r="M20" s="49" t="n">
        <f aca="false">M10+M18</f>
        <v>13249.36312</v>
      </c>
      <c r="N20" s="49" t="n">
        <f aca="false">N10+N18</f>
        <v>14734.3758576</v>
      </c>
      <c r="O20" s="49" t="n">
        <f aca="false">O10+O18</f>
        <v>17064.688340448</v>
      </c>
      <c r="P20" s="49" t="n">
        <f aca="false">P10+P18</f>
        <v>19348.394573639</v>
      </c>
      <c r="Q20" s="49" t="n">
        <f aca="false">Q10+Q18</f>
        <v>21586.4266821663</v>
      </c>
      <c r="R20" s="49" t="n">
        <f aca="false">R10+R18</f>
        <v>23779.6981485229</v>
      </c>
      <c r="S20" s="49" t="n">
        <f aca="false">S10+S18</f>
        <v>25929.1041855525</v>
      </c>
      <c r="T20" s="49" t="n">
        <f aca="false">T10+T18</f>
        <v>29785.5221018414</v>
      </c>
      <c r="U20" s="49" t="n">
        <f aca="false">U10+U18</f>
        <v>33599.8116598046</v>
      </c>
      <c r="V20" s="49" t="n">
        <f aca="false">V10+V18</f>
        <v>37372.8154266085</v>
      </c>
      <c r="W20" s="49" t="n">
        <f aca="false">W10+W18</f>
        <v>41105.3591180763</v>
      </c>
      <c r="X20" s="49" t="n">
        <f aca="false">X10+X18</f>
        <v>44798.2519357148</v>
      </c>
      <c r="Y20" s="49" t="n">
        <f aca="false">Y10+Y18</f>
        <v>48452.2868970005</v>
      </c>
      <c r="Z20" s="49" t="n">
        <f aca="false">Z10+Z18</f>
        <v>52068.2411590605</v>
      </c>
      <c r="AA20" s="49" t="n">
        <f aca="false">AA10+AA18</f>
        <v>56521.8763358793</v>
      </c>
      <c r="AB20" s="49" t="n">
        <f aca="false">AB10+AB18</f>
        <v>60921.4388091617</v>
      </c>
      <c r="AC20" s="49" t="n">
        <f aca="false">AC10+AC18</f>
        <v>67018.0100329785</v>
      </c>
      <c r="AD20" s="49" t="n">
        <f aca="false">AD10+AD18</f>
        <v>73062.6498323189</v>
      </c>
      <c r="AE20" s="49" t="n">
        <f aca="false">AE10+AE18</f>
        <v>79056.3968356725</v>
      </c>
      <c r="AF20" s="49" t="n">
        <f aca="false">AF10+AF18</f>
        <v>85000.2688989591</v>
      </c>
      <c r="AG20" s="49" t="n">
        <f aca="false">AG10+AG18</f>
        <v>90895.2635209799</v>
      </c>
      <c r="AH20" s="49" t="n">
        <f aca="false">AH10+AH18</f>
        <v>96742.3582505603</v>
      </c>
      <c r="AI20" s="49" t="n">
        <f aca="false">AI10+AI18</f>
        <v>104292.511085549</v>
      </c>
      <c r="AJ20" s="49" t="n">
        <f aca="false">AJ10+AJ18</f>
        <v>111796.660863838</v>
      </c>
      <c r="AK20" s="49" t="n">
        <f aca="false">AK10+AK18</f>
        <v>119255.727646561</v>
      </c>
      <c r="AL20" s="49" t="n">
        <f aca="false">AL10+AL18</f>
        <v>126670.61309363</v>
      </c>
      <c r="AN20" s="50" t="n">
        <f aca="false">SUMIF($C$4:$AL$4,1,$C20:$AL20)</f>
        <v>65515.5829776</v>
      </c>
      <c r="AO20" s="50" t="n">
        <f aca="false">SUMIF($C$4:$AL$4,2,$C20:$AL20)</f>
        <v>394890.600228435</v>
      </c>
      <c r="AP20" s="50" t="n">
        <f aca="false">SUMIF($C$4:$AL$4,3,$C20:$AL20)</f>
        <v>1071233.77520609</v>
      </c>
    </row>
    <row r="21" customFormat="false" ht="15" hidden="false" customHeight="false" outlineLevel="0" collapsed="false">
      <c r="A21" s="11" t="s">
        <v>322</v>
      </c>
      <c r="B21" s="14" t="s">
        <v>165</v>
      </c>
      <c r="C21" s="40" t="n">
        <f aca="false">C20*12</f>
        <v>0</v>
      </c>
      <c r="D21" s="40" t="n">
        <f aca="false">D20*12</f>
        <v>0</v>
      </c>
      <c r="E21" s="40" t="n">
        <f aca="false">E20*12</f>
        <v>0</v>
      </c>
      <c r="F21" s="40" t="n">
        <f aca="false">F20*12</f>
        <v>0</v>
      </c>
      <c r="G21" s="40" t="n">
        <f aca="false">G20*12</f>
        <v>0</v>
      </c>
      <c r="H21" s="40" t="n">
        <f aca="false">H20*12</f>
        <v>0</v>
      </c>
      <c r="I21" s="40" t="n">
        <f aca="false">I20*12</f>
        <v>84000</v>
      </c>
      <c r="J21" s="40" t="n">
        <f aca="false">J20*12</f>
        <v>103320</v>
      </c>
      <c r="K21" s="40" t="n">
        <f aca="false">K20*12</f>
        <v>122253.6</v>
      </c>
      <c r="L21" s="40" t="n">
        <f aca="false">L20*12</f>
        <v>140808.528</v>
      </c>
      <c r="M21" s="40" t="n">
        <f aca="false">M20*12</f>
        <v>158992.35744</v>
      </c>
      <c r="N21" s="40" t="n">
        <f aca="false">N20*12</f>
        <v>176812.5102912</v>
      </c>
      <c r="O21" s="40" t="n">
        <f aca="false">O20*12</f>
        <v>204776.260085376</v>
      </c>
      <c r="P21" s="40" t="n">
        <f aca="false">P20*12</f>
        <v>232180.734883668</v>
      </c>
      <c r="Q21" s="40" t="n">
        <f aca="false">Q20*12</f>
        <v>259037.120185995</v>
      </c>
      <c r="R21" s="40" t="n">
        <f aca="false">R20*12</f>
        <v>285356.377782275</v>
      </c>
      <c r="S21" s="40" t="n">
        <f aca="false">S20*12</f>
        <v>311149.25022663</v>
      </c>
      <c r="T21" s="40" t="n">
        <f aca="false">T20*12</f>
        <v>357426.265222097</v>
      </c>
      <c r="U21" s="40" t="n">
        <f aca="false">U20*12</f>
        <v>403197.739917655</v>
      </c>
      <c r="V21" s="40" t="n">
        <f aca="false">V20*12</f>
        <v>448473.785119302</v>
      </c>
      <c r="W21" s="40" t="n">
        <f aca="false">W20*12</f>
        <v>493264.309416916</v>
      </c>
      <c r="X21" s="40" t="n">
        <f aca="false">X20*12</f>
        <v>537579.023228578</v>
      </c>
      <c r="Y21" s="40" t="n">
        <f aca="false">Y20*12</f>
        <v>581427.442764006</v>
      </c>
      <c r="Z21" s="40" t="n">
        <f aca="false">Z20*12</f>
        <v>624818.893908726</v>
      </c>
      <c r="AA21" s="40" t="n">
        <f aca="false">AA20*12</f>
        <v>678262.516030551</v>
      </c>
      <c r="AB21" s="40" t="n">
        <f aca="false">AB20*12</f>
        <v>731057.26570994</v>
      </c>
      <c r="AC21" s="40" t="n">
        <f aca="false">AC20*12</f>
        <v>804216.120395742</v>
      </c>
      <c r="AD21" s="40" t="n">
        <f aca="false">AD20*12</f>
        <v>876751.797987827</v>
      </c>
      <c r="AE21" s="40" t="n">
        <f aca="false">AE20*12</f>
        <v>948676.76202807</v>
      </c>
      <c r="AF21" s="40" t="n">
        <f aca="false">AF20*12</f>
        <v>1020003.22678751</v>
      </c>
      <c r="AG21" s="40" t="n">
        <f aca="false">AG20*12</f>
        <v>1090743.16225176</v>
      </c>
      <c r="AH21" s="40" t="n">
        <f aca="false">AH20*12</f>
        <v>1160908.29900672</v>
      </c>
      <c r="AI21" s="40" t="n">
        <f aca="false">AI20*12</f>
        <v>1251510.13302659</v>
      </c>
      <c r="AJ21" s="40" t="n">
        <f aca="false">AJ20*12</f>
        <v>1341559.93036606</v>
      </c>
      <c r="AK21" s="40" t="n">
        <f aca="false">AK20*12</f>
        <v>1431068.73175874</v>
      </c>
      <c r="AL21" s="40" t="n">
        <f aca="false">AL20*12</f>
        <v>1520047.35712356</v>
      </c>
      <c r="AN21" s="47" t="n">
        <f aca="false">INDEX($C21:$AL21,1,12)</f>
        <v>176812.5102912</v>
      </c>
      <c r="AO21" s="47" t="n">
        <f aca="false">INDEX($C21:$AL21,1,24)</f>
        <v>624818.893908726</v>
      </c>
      <c r="AP21" s="47" t="n">
        <f aca="false">INDEX($C21:$AL21,1,36)</f>
        <v>1520047.35712356</v>
      </c>
    </row>
    <row r="23" customFormat="false" ht="15" hidden="false" customHeight="false" outlineLevel="0" collapsed="false">
      <c r="A23" s="9" t="s">
        <v>323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customFormat="false" ht="15" hidden="false" customHeight="false" outlineLevel="0" collapsed="false">
      <c r="A24" s="11" t="s">
        <v>324</v>
      </c>
      <c r="B24" s="14" t="s">
        <v>131</v>
      </c>
      <c r="C24" s="37" t="n">
        <f aca="false">Inputs!$C$60+COUNTIF(Inputs!$D$66:$D$72,"&lt;="&amp;C$3)</f>
        <v>2</v>
      </c>
      <c r="D24" s="37" t="n">
        <f aca="false">Inputs!$C$60+COUNTIF(Inputs!$D$66:$D$72,"&lt;="&amp;D$3)</f>
        <v>2</v>
      </c>
      <c r="E24" s="37" t="n">
        <f aca="false">Inputs!$C$60+COUNTIF(Inputs!$D$66:$D$72,"&lt;="&amp;E$3)</f>
        <v>2</v>
      </c>
      <c r="F24" s="37" t="n">
        <f aca="false">Inputs!$C$60+COUNTIF(Inputs!$D$66:$D$72,"&lt;="&amp;F$3)</f>
        <v>2</v>
      </c>
      <c r="G24" s="37" t="n">
        <f aca="false">Inputs!$C$60+COUNTIF(Inputs!$D$66:$D$72,"&lt;="&amp;G$3)</f>
        <v>2</v>
      </c>
      <c r="H24" s="37" t="n">
        <f aca="false">Inputs!$C$60+COUNTIF(Inputs!$D$66:$D$72,"&lt;="&amp;H$3)</f>
        <v>2</v>
      </c>
      <c r="I24" s="37" t="n">
        <f aca="false">Inputs!$C$60+COUNTIF(Inputs!$D$66:$D$72,"&lt;="&amp;I$3)</f>
        <v>2</v>
      </c>
      <c r="J24" s="37" t="n">
        <f aca="false">Inputs!$C$60+COUNTIF(Inputs!$D$66:$D$72,"&lt;="&amp;J$3)</f>
        <v>2</v>
      </c>
      <c r="K24" s="37" t="n">
        <f aca="false">Inputs!$C$60+COUNTIF(Inputs!$D$66:$D$72,"&lt;="&amp;K$3)</f>
        <v>2</v>
      </c>
      <c r="L24" s="37" t="n">
        <f aca="false">Inputs!$C$60+COUNTIF(Inputs!$D$66:$D$72,"&lt;="&amp;L$3)</f>
        <v>2</v>
      </c>
      <c r="M24" s="37" t="n">
        <f aca="false">Inputs!$C$60+COUNTIF(Inputs!$D$66:$D$72,"&lt;="&amp;M$3)</f>
        <v>2</v>
      </c>
      <c r="N24" s="37" t="n">
        <f aca="false">Inputs!$C$60+COUNTIF(Inputs!$D$66:$D$72,"&lt;="&amp;N$3)</f>
        <v>2</v>
      </c>
      <c r="O24" s="37" t="n">
        <f aca="false">Inputs!$C$60+COUNTIF(Inputs!$D$66:$D$72,"&lt;="&amp;O$3)</f>
        <v>2</v>
      </c>
      <c r="P24" s="37" t="n">
        <f aca="false">Inputs!$C$60+COUNTIF(Inputs!$D$66:$D$72,"&lt;="&amp;P$3)</f>
        <v>2</v>
      </c>
      <c r="Q24" s="37" t="n">
        <f aca="false">Inputs!$C$60+COUNTIF(Inputs!$D$66:$D$72,"&lt;="&amp;Q$3)</f>
        <v>2</v>
      </c>
      <c r="R24" s="37" t="n">
        <f aca="false">Inputs!$C$60+COUNTIF(Inputs!$D$66:$D$72,"&lt;="&amp;R$3)</f>
        <v>2</v>
      </c>
      <c r="S24" s="37" t="n">
        <f aca="false">Inputs!$C$60+COUNTIF(Inputs!$D$66:$D$72,"&lt;="&amp;S$3)</f>
        <v>2</v>
      </c>
      <c r="T24" s="37" t="n">
        <f aca="false">Inputs!$C$60+COUNTIF(Inputs!$D$66:$D$72,"&lt;="&amp;T$3)</f>
        <v>2</v>
      </c>
      <c r="U24" s="37" t="n">
        <f aca="false">Inputs!$C$60+COUNTIF(Inputs!$D$66:$D$72,"&lt;="&amp;U$3)</f>
        <v>4</v>
      </c>
      <c r="V24" s="37" t="n">
        <f aca="false">Inputs!$C$60+COUNTIF(Inputs!$D$66:$D$72,"&lt;="&amp;V$3)</f>
        <v>4</v>
      </c>
      <c r="W24" s="37" t="n">
        <f aca="false">Inputs!$C$60+COUNTIF(Inputs!$D$66:$D$72,"&lt;="&amp;W$3)</f>
        <v>4</v>
      </c>
      <c r="X24" s="37" t="n">
        <f aca="false">Inputs!$C$60+COUNTIF(Inputs!$D$66:$D$72,"&lt;="&amp;X$3)</f>
        <v>5</v>
      </c>
      <c r="Y24" s="37" t="n">
        <f aca="false">Inputs!$C$60+COUNTIF(Inputs!$D$66:$D$72,"&lt;="&amp;Y$3)</f>
        <v>5</v>
      </c>
      <c r="Z24" s="37" t="n">
        <f aca="false">Inputs!$C$60+COUNTIF(Inputs!$D$66:$D$72,"&lt;="&amp;Z$3)</f>
        <v>5</v>
      </c>
      <c r="AA24" s="37" t="n">
        <f aca="false">Inputs!$C$60+COUNTIF(Inputs!$D$66:$D$72,"&lt;="&amp;AA$3)</f>
        <v>5</v>
      </c>
      <c r="AB24" s="37" t="n">
        <f aca="false">Inputs!$C$60+COUNTIF(Inputs!$D$66:$D$72,"&lt;="&amp;AB$3)</f>
        <v>5</v>
      </c>
      <c r="AC24" s="37" t="n">
        <f aca="false">Inputs!$C$60+COUNTIF(Inputs!$D$66:$D$72,"&lt;="&amp;AC$3)</f>
        <v>5</v>
      </c>
      <c r="AD24" s="37" t="n">
        <f aca="false">Inputs!$C$60+COUNTIF(Inputs!$D$66:$D$72,"&lt;="&amp;AD$3)</f>
        <v>6</v>
      </c>
      <c r="AE24" s="37" t="n">
        <f aca="false">Inputs!$C$60+COUNTIF(Inputs!$D$66:$D$72,"&lt;="&amp;AE$3)</f>
        <v>6</v>
      </c>
      <c r="AF24" s="37" t="n">
        <f aca="false">Inputs!$C$60+COUNTIF(Inputs!$D$66:$D$72,"&lt;="&amp;AF$3)</f>
        <v>6</v>
      </c>
      <c r="AG24" s="37" t="n">
        <f aca="false">Inputs!$C$60+COUNTIF(Inputs!$D$66:$D$72,"&lt;="&amp;AG$3)</f>
        <v>7</v>
      </c>
      <c r="AH24" s="37" t="n">
        <f aca="false">Inputs!$C$60+COUNTIF(Inputs!$D$66:$D$72,"&lt;="&amp;AH$3)</f>
        <v>7</v>
      </c>
      <c r="AI24" s="37" t="n">
        <f aca="false">Inputs!$C$60+COUNTIF(Inputs!$D$66:$D$72,"&lt;="&amp;AI$3)</f>
        <v>7</v>
      </c>
      <c r="AJ24" s="37" t="n">
        <f aca="false">Inputs!$C$60+COUNTIF(Inputs!$D$66:$D$72,"&lt;="&amp;AJ$3)</f>
        <v>7</v>
      </c>
      <c r="AK24" s="37" t="n">
        <f aca="false">Inputs!$C$60+COUNTIF(Inputs!$D$66:$D$72,"&lt;="&amp;AK$3)</f>
        <v>7</v>
      </c>
      <c r="AL24" s="37" t="n">
        <f aca="false">Inputs!$C$60+COUNTIF(Inputs!$D$66:$D$72,"&lt;="&amp;AL$3)</f>
        <v>7</v>
      </c>
      <c r="AN24" s="48" t="n">
        <f aca="false">INDEX($C24:$AL24,1,12)</f>
        <v>2</v>
      </c>
      <c r="AO24" s="48" t="n">
        <f aca="false">INDEX($C24:$AL24,1,24)</f>
        <v>5</v>
      </c>
      <c r="AP24" s="48" t="n">
        <f aca="false">INDEX($C24:$AL24,1,36)</f>
        <v>7</v>
      </c>
    </row>
    <row r="25" customFormat="false" ht="15" hidden="false" customHeight="false" outlineLevel="0" collapsed="false">
      <c r="A25" s="11" t="s">
        <v>325</v>
      </c>
      <c r="B25" s="14" t="s">
        <v>165</v>
      </c>
      <c r="C25" s="40" t="n">
        <f aca="false">Inputs!$C$60*Inputs!$C$61/12*(1+Inputs!$C$62)</f>
        <v>26133.3333333333</v>
      </c>
      <c r="D25" s="40" t="n">
        <f aca="false">Inputs!$C$60*Inputs!$C$61/12*(1+Inputs!$C$62)</f>
        <v>26133.3333333333</v>
      </c>
      <c r="E25" s="40" t="n">
        <f aca="false">Inputs!$C$60*Inputs!$C$61/12*(1+Inputs!$C$62)</f>
        <v>26133.3333333333</v>
      </c>
      <c r="F25" s="40" t="n">
        <f aca="false">Inputs!$C$60*Inputs!$C$61/12*(1+Inputs!$C$62)</f>
        <v>26133.3333333333</v>
      </c>
      <c r="G25" s="40" t="n">
        <f aca="false">Inputs!$C$60*Inputs!$C$61/12*(1+Inputs!$C$62)</f>
        <v>26133.3333333333</v>
      </c>
      <c r="H25" s="40" t="n">
        <f aca="false">Inputs!$C$60*Inputs!$C$61/12*(1+Inputs!$C$62)</f>
        <v>26133.3333333333</v>
      </c>
      <c r="I25" s="40" t="n">
        <f aca="false">Inputs!$C$60*Inputs!$C$61/12*(1+Inputs!$C$62)</f>
        <v>26133.3333333333</v>
      </c>
      <c r="J25" s="40" t="n">
        <f aca="false">Inputs!$C$60*Inputs!$C$61/12*(1+Inputs!$C$62)</f>
        <v>26133.3333333333</v>
      </c>
      <c r="K25" s="40" t="n">
        <f aca="false">Inputs!$C$60*Inputs!$C$61/12*(1+Inputs!$C$62)</f>
        <v>26133.3333333333</v>
      </c>
      <c r="L25" s="40" t="n">
        <f aca="false">Inputs!$C$60*Inputs!$C$61/12*(1+Inputs!$C$62)</f>
        <v>26133.3333333333</v>
      </c>
      <c r="M25" s="40" t="n">
        <f aca="false">Inputs!$C$60*Inputs!$C$61/12*(1+Inputs!$C$62)</f>
        <v>26133.3333333333</v>
      </c>
      <c r="N25" s="40" t="n">
        <f aca="false">Inputs!$C$60*Inputs!$C$61/12*(1+Inputs!$C$62)</f>
        <v>26133.3333333333</v>
      </c>
      <c r="O25" s="40" t="n">
        <f aca="false">Inputs!$C$60*Inputs!$C$61/12*(1+Inputs!$C$62)</f>
        <v>26133.3333333333</v>
      </c>
      <c r="P25" s="40" t="n">
        <f aca="false">Inputs!$C$60*Inputs!$C$61/12*(1+Inputs!$C$62)</f>
        <v>26133.3333333333</v>
      </c>
      <c r="Q25" s="40" t="n">
        <f aca="false">Inputs!$C$60*Inputs!$C$61/12*(1+Inputs!$C$62)</f>
        <v>26133.3333333333</v>
      </c>
      <c r="R25" s="40" t="n">
        <f aca="false">Inputs!$C$60*Inputs!$C$61/12*(1+Inputs!$C$62)</f>
        <v>26133.3333333333</v>
      </c>
      <c r="S25" s="40" t="n">
        <f aca="false">Inputs!$C$60*Inputs!$C$61/12*(1+Inputs!$C$62)</f>
        <v>26133.3333333333</v>
      </c>
      <c r="T25" s="40" t="n">
        <f aca="false">Inputs!$C$60*Inputs!$C$61/12*(1+Inputs!$C$62)</f>
        <v>26133.3333333333</v>
      </c>
      <c r="U25" s="40" t="n">
        <f aca="false">Inputs!$C$60*Inputs!$C$61/12*(1+Inputs!$C$62)</f>
        <v>26133.3333333333</v>
      </c>
      <c r="V25" s="40" t="n">
        <f aca="false">Inputs!$C$60*Inputs!$C$61/12*(1+Inputs!$C$62)</f>
        <v>26133.3333333333</v>
      </c>
      <c r="W25" s="40" t="n">
        <f aca="false">Inputs!$C$60*Inputs!$C$61/12*(1+Inputs!$C$62)</f>
        <v>26133.3333333333</v>
      </c>
      <c r="X25" s="40" t="n">
        <f aca="false">Inputs!$C$60*Inputs!$C$61/12*(1+Inputs!$C$62)</f>
        <v>26133.3333333333</v>
      </c>
      <c r="Y25" s="40" t="n">
        <f aca="false">Inputs!$C$60*Inputs!$C$61/12*(1+Inputs!$C$62)</f>
        <v>26133.3333333333</v>
      </c>
      <c r="Z25" s="40" t="n">
        <f aca="false">Inputs!$C$60*Inputs!$C$61/12*(1+Inputs!$C$62)</f>
        <v>26133.3333333333</v>
      </c>
      <c r="AA25" s="40" t="n">
        <f aca="false">Inputs!$C$60*Inputs!$C$61/12*(1+Inputs!$C$62)</f>
        <v>26133.3333333333</v>
      </c>
      <c r="AB25" s="40" t="n">
        <f aca="false">Inputs!$C$60*Inputs!$C$61/12*(1+Inputs!$C$62)</f>
        <v>26133.3333333333</v>
      </c>
      <c r="AC25" s="40" t="n">
        <f aca="false">Inputs!$C$60*Inputs!$C$61/12*(1+Inputs!$C$62)</f>
        <v>26133.3333333333</v>
      </c>
      <c r="AD25" s="40" t="n">
        <f aca="false">Inputs!$C$60*Inputs!$C$61/12*(1+Inputs!$C$62)</f>
        <v>26133.3333333333</v>
      </c>
      <c r="AE25" s="40" t="n">
        <f aca="false">Inputs!$C$60*Inputs!$C$61/12*(1+Inputs!$C$62)</f>
        <v>26133.3333333333</v>
      </c>
      <c r="AF25" s="40" t="n">
        <f aca="false">Inputs!$C$60*Inputs!$C$61/12*(1+Inputs!$C$62)</f>
        <v>26133.3333333333</v>
      </c>
      <c r="AG25" s="40" t="n">
        <f aca="false">Inputs!$C$60*Inputs!$C$61/12*(1+Inputs!$C$62)</f>
        <v>26133.3333333333</v>
      </c>
      <c r="AH25" s="40" t="n">
        <f aca="false">Inputs!$C$60*Inputs!$C$61/12*(1+Inputs!$C$62)</f>
        <v>26133.3333333333</v>
      </c>
      <c r="AI25" s="40" t="n">
        <f aca="false">Inputs!$C$60*Inputs!$C$61/12*(1+Inputs!$C$62)</f>
        <v>26133.3333333333</v>
      </c>
      <c r="AJ25" s="40" t="n">
        <f aca="false">Inputs!$C$60*Inputs!$C$61/12*(1+Inputs!$C$62)</f>
        <v>26133.3333333333</v>
      </c>
      <c r="AK25" s="40" t="n">
        <f aca="false">Inputs!$C$60*Inputs!$C$61/12*(1+Inputs!$C$62)</f>
        <v>26133.3333333333</v>
      </c>
      <c r="AL25" s="40" t="n">
        <f aca="false">Inputs!$C$60*Inputs!$C$61/12*(1+Inputs!$C$62)</f>
        <v>26133.3333333333</v>
      </c>
      <c r="AN25" s="47" t="n">
        <f aca="false">SUMIF($C$4:$AL$4,1,$C25:$AL25)</f>
        <v>313600</v>
      </c>
      <c r="AO25" s="47" t="n">
        <f aca="false">SUMIF($C$4:$AL$4,2,$C25:$AL25)</f>
        <v>313600</v>
      </c>
      <c r="AP25" s="47" t="n">
        <f aca="false">SUMIF($C$4:$AL$4,3,$C25:$AL25)</f>
        <v>313600</v>
      </c>
    </row>
    <row r="26" customFormat="false" ht="15" hidden="false" customHeight="false" outlineLevel="0" collapsed="false">
      <c r="A26" s="11" t="s">
        <v>326</v>
      </c>
      <c r="B26" s="14" t="s">
        <v>165</v>
      </c>
      <c r="C26" s="40" t="n">
        <f aca="false">SUMPRODUCT((Inputs!$D$66:$D$72&lt;=C$3)*Inputs!$B$66:$B$72)/12*(1+Inputs!$C$62)</f>
        <v>0</v>
      </c>
      <c r="D26" s="40" t="n">
        <f aca="false">SUMPRODUCT((Inputs!$D$66:$D$72&lt;=D$3)*Inputs!$B$66:$B$72)/12*(1+Inputs!$C$62)</f>
        <v>0</v>
      </c>
      <c r="E26" s="40" t="n">
        <f aca="false">SUMPRODUCT((Inputs!$D$66:$D$72&lt;=E$3)*Inputs!$B$66:$B$72)/12*(1+Inputs!$C$62)</f>
        <v>0</v>
      </c>
      <c r="F26" s="40" t="n">
        <f aca="false">SUMPRODUCT((Inputs!$D$66:$D$72&lt;=F$3)*Inputs!$B$66:$B$72)/12*(1+Inputs!$C$62)</f>
        <v>0</v>
      </c>
      <c r="G26" s="40" t="n">
        <f aca="false">SUMPRODUCT((Inputs!$D$66:$D$72&lt;=G$3)*Inputs!$B$66:$B$72)/12*(1+Inputs!$C$62)</f>
        <v>0</v>
      </c>
      <c r="H26" s="40" t="n">
        <f aca="false">SUMPRODUCT((Inputs!$D$66:$D$72&lt;=H$3)*Inputs!$B$66:$B$72)/12*(1+Inputs!$C$62)</f>
        <v>0</v>
      </c>
      <c r="I26" s="40" t="n">
        <f aca="false">SUMPRODUCT((Inputs!$D$66:$D$72&lt;=I$3)*Inputs!$B$66:$B$72)/12*(1+Inputs!$C$62)</f>
        <v>0</v>
      </c>
      <c r="J26" s="40" t="n">
        <f aca="false">SUMPRODUCT((Inputs!$D$66:$D$72&lt;=J$3)*Inputs!$B$66:$B$72)/12*(1+Inputs!$C$62)</f>
        <v>0</v>
      </c>
      <c r="K26" s="40" t="n">
        <f aca="false">SUMPRODUCT((Inputs!$D$66:$D$72&lt;=K$3)*Inputs!$B$66:$B$72)/12*(1+Inputs!$C$62)</f>
        <v>0</v>
      </c>
      <c r="L26" s="40" t="n">
        <f aca="false">SUMPRODUCT((Inputs!$D$66:$D$72&lt;=L$3)*Inputs!$B$66:$B$72)/12*(1+Inputs!$C$62)</f>
        <v>0</v>
      </c>
      <c r="M26" s="40" t="n">
        <f aca="false">SUMPRODUCT((Inputs!$D$66:$D$72&lt;=M$3)*Inputs!$B$66:$B$72)/12*(1+Inputs!$C$62)</f>
        <v>0</v>
      </c>
      <c r="N26" s="40" t="n">
        <f aca="false">SUMPRODUCT((Inputs!$D$66:$D$72&lt;=N$3)*Inputs!$B$66:$B$72)/12*(1+Inputs!$C$62)</f>
        <v>0</v>
      </c>
      <c r="O26" s="40" t="n">
        <f aca="false">SUMPRODUCT((Inputs!$D$66:$D$72&lt;=O$3)*Inputs!$B$66:$B$72)/12*(1+Inputs!$C$62)</f>
        <v>0</v>
      </c>
      <c r="P26" s="40" t="n">
        <f aca="false">SUMPRODUCT((Inputs!$D$66:$D$72&lt;=P$3)*Inputs!$B$66:$B$72)/12*(1+Inputs!$C$62)</f>
        <v>0</v>
      </c>
      <c r="Q26" s="40" t="n">
        <f aca="false">SUMPRODUCT((Inputs!$D$66:$D$72&lt;=Q$3)*Inputs!$B$66:$B$72)/12*(1+Inputs!$C$62)</f>
        <v>0</v>
      </c>
      <c r="R26" s="40" t="n">
        <f aca="false">SUMPRODUCT((Inputs!$D$66:$D$72&lt;=R$3)*Inputs!$B$66:$B$72)/12*(1+Inputs!$C$62)</f>
        <v>0</v>
      </c>
      <c r="S26" s="40" t="n">
        <f aca="false">SUMPRODUCT((Inputs!$D$66:$D$72&lt;=S$3)*Inputs!$B$66:$B$72)/12*(1+Inputs!$C$62)</f>
        <v>0</v>
      </c>
      <c r="T26" s="40" t="n">
        <f aca="false">SUMPRODUCT((Inputs!$D$66:$D$72&lt;=T$3)*Inputs!$B$66:$B$72)/12*(1+Inputs!$C$62)</f>
        <v>0</v>
      </c>
      <c r="U26" s="40" t="n">
        <f aca="false">SUMPRODUCT((Inputs!$D$66:$D$72&lt;=U$3)*Inputs!$B$66:$B$72)/12*(1+Inputs!$C$62)</f>
        <v>30800</v>
      </c>
      <c r="V26" s="40" t="n">
        <f aca="false">SUMPRODUCT((Inputs!$D$66:$D$72&lt;=V$3)*Inputs!$B$66:$B$72)/12*(1+Inputs!$C$62)</f>
        <v>30800</v>
      </c>
      <c r="W26" s="40" t="n">
        <f aca="false">SUMPRODUCT((Inputs!$D$66:$D$72&lt;=W$3)*Inputs!$B$66:$B$72)/12*(1+Inputs!$C$62)</f>
        <v>30800</v>
      </c>
      <c r="X26" s="40" t="n">
        <f aca="false">SUMPRODUCT((Inputs!$D$66:$D$72&lt;=X$3)*Inputs!$B$66:$B$72)/12*(1+Inputs!$C$62)</f>
        <v>41066.6666666667</v>
      </c>
      <c r="Y26" s="40" t="n">
        <f aca="false">SUMPRODUCT((Inputs!$D$66:$D$72&lt;=Y$3)*Inputs!$B$66:$B$72)/12*(1+Inputs!$C$62)</f>
        <v>41066.6666666667</v>
      </c>
      <c r="Z26" s="40" t="n">
        <f aca="false">SUMPRODUCT((Inputs!$D$66:$D$72&lt;=Z$3)*Inputs!$B$66:$B$72)/12*(1+Inputs!$C$62)</f>
        <v>41066.6666666667</v>
      </c>
      <c r="AA26" s="40" t="n">
        <f aca="false">SUMPRODUCT((Inputs!$D$66:$D$72&lt;=AA$3)*Inputs!$B$66:$B$72)/12*(1+Inputs!$C$62)</f>
        <v>41066.6666666667</v>
      </c>
      <c r="AB26" s="40" t="n">
        <f aca="false">SUMPRODUCT((Inputs!$D$66:$D$72&lt;=AB$3)*Inputs!$B$66:$B$72)/12*(1+Inputs!$C$62)</f>
        <v>41066.6666666667</v>
      </c>
      <c r="AC26" s="40" t="n">
        <f aca="false">SUMPRODUCT((Inputs!$D$66:$D$72&lt;=AC$3)*Inputs!$B$66:$B$72)/12*(1+Inputs!$C$62)</f>
        <v>41066.6666666667</v>
      </c>
      <c r="AD26" s="40" t="n">
        <f aca="false">SUMPRODUCT((Inputs!$D$66:$D$72&lt;=AD$3)*Inputs!$B$66:$B$72)/12*(1+Inputs!$C$62)</f>
        <v>56000</v>
      </c>
      <c r="AE26" s="40" t="n">
        <f aca="false">SUMPRODUCT((Inputs!$D$66:$D$72&lt;=AE$3)*Inputs!$B$66:$B$72)/12*(1+Inputs!$C$62)</f>
        <v>56000</v>
      </c>
      <c r="AF26" s="40" t="n">
        <f aca="false">SUMPRODUCT((Inputs!$D$66:$D$72&lt;=AF$3)*Inputs!$B$66:$B$72)/12*(1+Inputs!$C$62)</f>
        <v>56000</v>
      </c>
      <c r="AG26" s="40" t="n">
        <f aca="false">SUMPRODUCT((Inputs!$D$66:$D$72&lt;=AG$3)*Inputs!$B$66:$B$72)/12*(1+Inputs!$C$62)</f>
        <v>66266.6666666667</v>
      </c>
      <c r="AH26" s="40" t="n">
        <f aca="false">SUMPRODUCT((Inputs!$D$66:$D$72&lt;=AH$3)*Inputs!$B$66:$B$72)/12*(1+Inputs!$C$62)</f>
        <v>66266.6666666667</v>
      </c>
      <c r="AI26" s="40" t="n">
        <f aca="false">SUMPRODUCT((Inputs!$D$66:$D$72&lt;=AI$3)*Inputs!$B$66:$B$72)/12*(1+Inputs!$C$62)</f>
        <v>66266.6666666667</v>
      </c>
      <c r="AJ26" s="40" t="n">
        <f aca="false">SUMPRODUCT((Inputs!$D$66:$D$72&lt;=AJ$3)*Inputs!$B$66:$B$72)/12*(1+Inputs!$C$62)</f>
        <v>66266.6666666667</v>
      </c>
      <c r="AK26" s="40" t="n">
        <f aca="false">SUMPRODUCT((Inputs!$D$66:$D$72&lt;=AK$3)*Inputs!$B$66:$B$72)/12*(1+Inputs!$C$62)</f>
        <v>66266.6666666667</v>
      </c>
      <c r="AL26" s="40" t="n">
        <f aca="false">SUMPRODUCT((Inputs!$D$66:$D$72&lt;=AL$3)*Inputs!$B$66:$B$72)/12*(1+Inputs!$C$62)</f>
        <v>66266.6666666667</v>
      </c>
      <c r="AN26" s="47" t="n">
        <f aca="false">SUMIF($C$4:$AL$4,1,$C26:$AL26)</f>
        <v>0</v>
      </c>
      <c r="AO26" s="47" t="n">
        <f aca="false">SUMIF($C$4:$AL$4,2,$C26:$AL26)</f>
        <v>215600</v>
      </c>
      <c r="AP26" s="47" t="n">
        <f aca="false">SUMIF($C$4:$AL$4,3,$C26:$AL26)</f>
        <v>688800</v>
      </c>
    </row>
    <row r="27" customFormat="false" ht="15" hidden="false" customHeight="false" outlineLevel="0" collapsed="false">
      <c r="A27" s="11" t="s">
        <v>327</v>
      </c>
      <c r="B27" s="14" t="s">
        <v>165</v>
      </c>
      <c r="C27" s="40" t="n">
        <f aca="false">CHOOSE(C$4,Inputs!$C$75,Inputs!$C$76,Inputs!$C$77)/12</f>
        <v>21666.6666666667</v>
      </c>
      <c r="D27" s="40" t="n">
        <f aca="false">CHOOSE(D$4,Inputs!$C$75,Inputs!$C$76,Inputs!$C$77)/12</f>
        <v>21666.6666666667</v>
      </c>
      <c r="E27" s="40" t="n">
        <f aca="false">CHOOSE(E$4,Inputs!$C$75,Inputs!$C$76,Inputs!$C$77)/12</f>
        <v>21666.6666666667</v>
      </c>
      <c r="F27" s="40" t="n">
        <f aca="false">CHOOSE(F$4,Inputs!$C$75,Inputs!$C$76,Inputs!$C$77)/12</f>
        <v>21666.6666666667</v>
      </c>
      <c r="G27" s="40" t="n">
        <f aca="false">CHOOSE(G$4,Inputs!$C$75,Inputs!$C$76,Inputs!$C$77)/12</f>
        <v>21666.6666666667</v>
      </c>
      <c r="H27" s="40" t="n">
        <f aca="false">CHOOSE(H$4,Inputs!$C$75,Inputs!$C$76,Inputs!$C$77)/12</f>
        <v>21666.6666666667</v>
      </c>
      <c r="I27" s="40" t="n">
        <f aca="false">CHOOSE(I$4,Inputs!$C$75,Inputs!$C$76,Inputs!$C$77)/12</f>
        <v>21666.6666666667</v>
      </c>
      <c r="J27" s="40" t="n">
        <f aca="false">CHOOSE(J$4,Inputs!$C$75,Inputs!$C$76,Inputs!$C$77)/12</f>
        <v>21666.6666666667</v>
      </c>
      <c r="K27" s="40" t="n">
        <f aca="false">CHOOSE(K$4,Inputs!$C$75,Inputs!$C$76,Inputs!$C$77)/12</f>
        <v>21666.6666666667</v>
      </c>
      <c r="L27" s="40" t="n">
        <f aca="false">CHOOSE(L$4,Inputs!$C$75,Inputs!$C$76,Inputs!$C$77)/12</f>
        <v>21666.6666666667</v>
      </c>
      <c r="M27" s="40" t="n">
        <f aca="false">CHOOSE(M$4,Inputs!$C$75,Inputs!$C$76,Inputs!$C$77)/12</f>
        <v>21666.6666666667</v>
      </c>
      <c r="N27" s="40" t="n">
        <f aca="false">CHOOSE(N$4,Inputs!$C$75,Inputs!$C$76,Inputs!$C$77)/12</f>
        <v>21666.6666666667</v>
      </c>
      <c r="O27" s="40" t="n">
        <f aca="false">CHOOSE(O$4,Inputs!$C$75,Inputs!$C$76,Inputs!$C$77)/12</f>
        <v>3333.33333333333</v>
      </c>
      <c r="P27" s="40" t="n">
        <f aca="false">CHOOSE(P$4,Inputs!$C$75,Inputs!$C$76,Inputs!$C$77)/12</f>
        <v>3333.33333333333</v>
      </c>
      <c r="Q27" s="40" t="n">
        <f aca="false">CHOOSE(Q$4,Inputs!$C$75,Inputs!$C$76,Inputs!$C$77)/12</f>
        <v>3333.33333333333</v>
      </c>
      <c r="R27" s="40" t="n">
        <f aca="false">CHOOSE(R$4,Inputs!$C$75,Inputs!$C$76,Inputs!$C$77)/12</f>
        <v>3333.33333333333</v>
      </c>
      <c r="S27" s="40" t="n">
        <f aca="false">CHOOSE(S$4,Inputs!$C$75,Inputs!$C$76,Inputs!$C$77)/12</f>
        <v>3333.33333333333</v>
      </c>
      <c r="T27" s="40" t="n">
        <f aca="false">CHOOSE(T$4,Inputs!$C$75,Inputs!$C$76,Inputs!$C$77)/12</f>
        <v>3333.33333333333</v>
      </c>
      <c r="U27" s="40" t="n">
        <f aca="false">CHOOSE(U$4,Inputs!$C$75,Inputs!$C$76,Inputs!$C$77)/12</f>
        <v>3333.33333333333</v>
      </c>
      <c r="V27" s="40" t="n">
        <f aca="false">CHOOSE(V$4,Inputs!$C$75,Inputs!$C$76,Inputs!$C$77)/12</f>
        <v>3333.33333333333</v>
      </c>
      <c r="W27" s="40" t="n">
        <f aca="false">CHOOSE(W$4,Inputs!$C$75,Inputs!$C$76,Inputs!$C$77)/12</f>
        <v>3333.33333333333</v>
      </c>
      <c r="X27" s="40" t="n">
        <f aca="false">CHOOSE(X$4,Inputs!$C$75,Inputs!$C$76,Inputs!$C$77)/12</f>
        <v>3333.33333333333</v>
      </c>
      <c r="Y27" s="40" t="n">
        <f aca="false">CHOOSE(Y$4,Inputs!$C$75,Inputs!$C$76,Inputs!$C$77)/12</f>
        <v>3333.33333333333</v>
      </c>
      <c r="Z27" s="40" t="n">
        <f aca="false">CHOOSE(Z$4,Inputs!$C$75,Inputs!$C$76,Inputs!$C$77)/12</f>
        <v>3333.33333333333</v>
      </c>
      <c r="AA27" s="40" t="n">
        <f aca="false">CHOOSE(AA$4,Inputs!$C$75,Inputs!$C$76,Inputs!$C$77)/12</f>
        <v>3333.33333333333</v>
      </c>
      <c r="AB27" s="40" t="n">
        <f aca="false">CHOOSE(AB$4,Inputs!$C$75,Inputs!$C$76,Inputs!$C$77)/12</f>
        <v>3333.33333333333</v>
      </c>
      <c r="AC27" s="40" t="n">
        <f aca="false">CHOOSE(AC$4,Inputs!$C$75,Inputs!$C$76,Inputs!$C$77)/12</f>
        <v>3333.33333333333</v>
      </c>
      <c r="AD27" s="40" t="n">
        <f aca="false">CHOOSE(AD$4,Inputs!$C$75,Inputs!$C$76,Inputs!$C$77)/12</f>
        <v>3333.33333333333</v>
      </c>
      <c r="AE27" s="40" t="n">
        <f aca="false">CHOOSE(AE$4,Inputs!$C$75,Inputs!$C$76,Inputs!$C$77)/12</f>
        <v>3333.33333333333</v>
      </c>
      <c r="AF27" s="40" t="n">
        <f aca="false">CHOOSE(AF$4,Inputs!$C$75,Inputs!$C$76,Inputs!$C$77)/12</f>
        <v>3333.33333333333</v>
      </c>
      <c r="AG27" s="40" t="n">
        <f aca="false">CHOOSE(AG$4,Inputs!$C$75,Inputs!$C$76,Inputs!$C$77)/12</f>
        <v>3333.33333333333</v>
      </c>
      <c r="AH27" s="40" t="n">
        <f aca="false">CHOOSE(AH$4,Inputs!$C$75,Inputs!$C$76,Inputs!$C$77)/12</f>
        <v>3333.33333333333</v>
      </c>
      <c r="AI27" s="40" t="n">
        <f aca="false">CHOOSE(AI$4,Inputs!$C$75,Inputs!$C$76,Inputs!$C$77)/12</f>
        <v>3333.33333333333</v>
      </c>
      <c r="AJ27" s="40" t="n">
        <f aca="false">CHOOSE(AJ$4,Inputs!$C$75,Inputs!$C$76,Inputs!$C$77)/12</f>
        <v>3333.33333333333</v>
      </c>
      <c r="AK27" s="40" t="n">
        <f aca="false">CHOOSE(AK$4,Inputs!$C$75,Inputs!$C$76,Inputs!$C$77)/12</f>
        <v>3333.33333333333</v>
      </c>
      <c r="AL27" s="40" t="n">
        <f aca="false">CHOOSE(AL$4,Inputs!$C$75,Inputs!$C$76,Inputs!$C$77)/12</f>
        <v>3333.33333333333</v>
      </c>
      <c r="AN27" s="47" t="n">
        <f aca="false">SUMIF($C$4:$AL$4,1,$C27:$AL27)</f>
        <v>260000</v>
      </c>
      <c r="AO27" s="47" t="n">
        <f aca="false">SUMIF($C$4:$AL$4,2,$C27:$AL27)</f>
        <v>40000</v>
      </c>
      <c r="AP27" s="47" t="n">
        <f aca="false">SUMIF($C$4:$AL$4,3,$C27:$AL27)</f>
        <v>40000</v>
      </c>
    </row>
    <row r="28" customFormat="false" ht="15" hidden="false" customHeight="false" outlineLevel="0" collapsed="false">
      <c r="A28" s="11" t="s">
        <v>328</v>
      </c>
      <c r="B28" s="14" t="s">
        <v>165</v>
      </c>
      <c r="C28" s="40" t="n">
        <f aca="false">Inputs!$C$78+(C7+C9+C16)*Inputs!$C$79</f>
        <v>1000</v>
      </c>
      <c r="D28" s="40" t="n">
        <f aca="false">Inputs!$C$78+(D7+D9+D16)*Inputs!$C$79</f>
        <v>1000</v>
      </c>
      <c r="E28" s="40" t="n">
        <f aca="false">Inputs!$C$78+(E7+E9+E16)*Inputs!$C$79</f>
        <v>1400</v>
      </c>
      <c r="F28" s="40" t="n">
        <f aca="false">Inputs!$C$78+(F7+F9+F16)*Inputs!$C$79</f>
        <v>1400</v>
      </c>
      <c r="G28" s="40" t="n">
        <f aca="false">Inputs!$C$78+(G7+G9+G16)*Inputs!$C$79</f>
        <v>1400</v>
      </c>
      <c r="H28" s="40" t="n">
        <f aca="false">Inputs!$C$78+(H7+H9+H16)*Inputs!$C$79</f>
        <v>1400</v>
      </c>
      <c r="I28" s="40" t="n">
        <f aca="false">Inputs!$C$78+(I7+I9+I16)*Inputs!$C$79</f>
        <v>1400</v>
      </c>
      <c r="J28" s="40" t="n">
        <f aca="false">Inputs!$C$78+(J7+J9+J16)*Inputs!$C$79</f>
        <v>1492</v>
      </c>
      <c r="K28" s="40" t="n">
        <f aca="false">Inputs!$C$78+(K7+K9+K16)*Inputs!$C$79</f>
        <v>1582.16</v>
      </c>
      <c r="L28" s="40" t="n">
        <f aca="false">Inputs!$C$78+(L7+L9+L16)*Inputs!$C$79</f>
        <v>1670.5168</v>
      </c>
      <c r="M28" s="40" t="n">
        <f aca="false">Inputs!$C$78+(M7+M9+M16)*Inputs!$C$79</f>
        <v>1757.106464</v>
      </c>
      <c r="N28" s="40" t="n">
        <f aca="false">Inputs!$C$78+(N7+N9+N16)*Inputs!$C$79</f>
        <v>1841.96433472</v>
      </c>
      <c r="O28" s="40" t="n">
        <f aca="false">Inputs!$C$78+(O7+O9+O16)*Inputs!$C$79</f>
        <v>1975.1250480256</v>
      </c>
      <c r="P28" s="40" t="n">
        <f aca="false">Inputs!$C$78+(P7+P9+P16)*Inputs!$C$79</f>
        <v>2105.62254706509</v>
      </c>
      <c r="Q28" s="40" t="n">
        <f aca="false">Inputs!$C$78+(Q7+Q9+Q16)*Inputs!$C$79</f>
        <v>2233.51009612379</v>
      </c>
      <c r="R28" s="40" t="n">
        <f aca="false">Inputs!$C$78+(R7+R9+R16)*Inputs!$C$79</f>
        <v>2358.83989420131</v>
      </c>
      <c r="S28" s="40" t="n">
        <f aca="false">Inputs!$C$78+(S7+S9+S16)*Inputs!$C$79</f>
        <v>2481.66309631728</v>
      </c>
      <c r="T28" s="40" t="n">
        <f aca="false">Inputs!$C$78+(T7+T9+T16)*Inputs!$C$79</f>
        <v>2702.02983439094</v>
      </c>
      <c r="U28" s="40" t="n">
        <f aca="false">Inputs!$C$78+(U7+U9+U16)*Inputs!$C$79</f>
        <v>2919.98923770312</v>
      </c>
      <c r="V28" s="40" t="n">
        <f aca="false">Inputs!$C$78+(V7+V9+V16)*Inputs!$C$79</f>
        <v>3135.58945294906</v>
      </c>
      <c r="W28" s="40" t="n">
        <f aca="false">Inputs!$C$78+(W7+W9+W16)*Inputs!$C$79</f>
        <v>3348.87766389008</v>
      </c>
      <c r="X28" s="40" t="n">
        <f aca="false">Inputs!$C$78+(X7+X9+X16)*Inputs!$C$79</f>
        <v>3559.90011061227</v>
      </c>
      <c r="Y28" s="40" t="n">
        <f aca="false">Inputs!$C$78+(Y7+Y9+Y16)*Inputs!$C$79</f>
        <v>3768.70210840003</v>
      </c>
      <c r="Z28" s="40" t="n">
        <f aca="false">Inputs!$C$78+(Z7+Z9+Z16)*Inputs!$C$79</f>
        <v>3975.32806623203</v>
      </c>
      <c r="AA28" s="40" t="n">
        <f aca="false">Inputs!$C$78+(AA7+AA9+AA16)*Inputs!$C$79</f>
        <v>4229.82150490739</v>
      </c>
      <c r="AB28" s="40" t="n">
        <f aca="false">Inputs!$C$78+(AB7+AB9+AB16)*Inputs!$C$79</f>
        <v>4481.22507480924</v>
      </c>
      <c r="AC28" s="40" t="n">
        <f aca="false">Inputs!$C$78+(AC7+AC9+AC16)*Inputs!$C$79</f>
        <v>4829.60057331305</v>
      </c>
      <c r="AD28" s="40" t="n">
        <f aca="false">Inputs!$C$78+(AD7+AD9+AD16)*Inputs!$C$79</f>
        <v>5175.00856184679</v>
      </c>
      <c r="AE28" s="40" t="n">
        <f aca="false">Inputs!$C$78+(AE7+AE9+AE16)*Inputs!$C$79</f>
        <v>5517.50839060986</v>
      </c>
      <c r="AF28" s="40" t="n">
        <f aca="false">Inputs!$C$78+(AF7+AF9+AF16)*Inputs!$C$79</f>
        <v>5857.15822279766</v>
      </c>
      <c r="AG28" s="40" t="n">
        <f aca="false">Inputs!$C$78+(AG7+AG9+AG16)*Inputs!$C$79</f>
        <v>6194.01505834171</v>
      </c>
      <c r="AH28" s="40" t="n">
        <f aca="false">Inputs!$C$78+(AH7+AH9+AH16)*Inputs!$C$79</f>
        <v>6528.13475717487</v>
      </c>
      <c r="AI28" s="40" t="n">
        <f aca="false">Inputs!$C$78+(AI7+AI9+AI16)*Inputs!$C$79</f>
        <v>6959.57206203138</v>
      </c>
      <c r="AJ28" s="40" t="n">
        <f aca="false">Inputs!$C$78+(AJ7+AJ9+AJ16)*Inputs!$C$79</f>
        <v>7388.38062079075</v>
      </c>
      <c r="AK28" s="40" t="n">
        <f aca="false">Inputs!$C$78+(AK7+AK9+AK16)*Inputs!$C$79</f>
        <v>7814.61300837493</v>
      </c>
      <c r="AL28" s="40" t="n">
        <f aca="false">Inputs!$C$78+(AL7+AL9+AL16)*Inputs!$C$79</f>
        <v>8238.32074820743</v>
      </c>
      <c r="AN28" s="47" t="n">
        <f aca="false">SUMIF($C$4:$AL$4,1,$C28:$AL28)</f>
        <v>17343.74759872</v>
      </c>
      <c r="AO28" s="47" t="n">
        <f aca="false">SUMIF($C$4:$AL$4,2,$C28:$AL28)</f>
        <v>34565.1771559106</v>
      </c>
      <c r="AP28" s="47" t="n">
        <f aca="false">SUMIF($C$4:$AL$4,3,$C28:$AL28)</f>
        <v>73213.3585832051</v>
      </c>
    </row>
    <row r="29" customFormat="false" ht="15" hidden="false" customHeight="false" outlineLevel="0" collapsed="false">
      <c r="A29" s="11" t="s">
        <v>329</v>
      </c>
      <c r="B29" s="14" t="s">
        <v>165</v>
      </c>
      <c r="C29" s="40" t="n">
        <f aca="false">CHOOSE(C$4,Inputs!$C$80,Inputs!$C$81,Inputs!$C$81)/12</f>
        <v>3333.33333333333</v>
      </c>
      <c r="D29" s="40" t="n">
        <f aca="false">CHOOSE(D$4,Inputs!$C$80,Inputs!$C$81,Inputs!$C$81)/12</f>
        <v>3333.33333333333</v>
      </c>
      <c r="E29" s="40" t="n">
        <f aca="false">CHOOSE(E$4,Inputs!$C$80,Inputs!$C$81,Inputs!$C$81)/12</f>
        <v>3333.33333333333</v>
      </c>
      <c r="F29" s="40" t="n">
        <f aca="false">CHOOSE(F$4,Inputs!$C$80,Inputs!$C$81,Inputs!$C$81)/12</f>
        <v>3333.33333333333</v>
      </c>
      <c r="G29" s="40" t="n">
        <f aca="false">CHOOSE(G$4,Inputs!$C$80,Inputs!$C$81,Inputs!$C$81)/12</f>
        <v>3333.33333333333</v>
      </c>
      <c r="H29" s="40" t="n">
        <f aca="false">CHOOSE(H$4,Inputs!$C$80,Inputs!$C$81,Inputs!$C$81)/12</f>
        <v>3333.33333333333</v>
      </c>
      <c r="I29" s="40" t="n">
        <f aca="false">CHOOSE(I$4,Inputs!$C$80,Inputs!$C$81,Inputs!$C$81)/12</f>
        <v>3333.33333333333</v>
      </c>
      <c r="J29" s="40" t="n">
        <f aca="false">CHOOSE(J$4,Inputs!$C$80,Inputs!$C$81,Inputs!$C$81)/12</f>
        <v>3333.33333333333</v>
      </c>
      <c r="K29" s="40" t="n">
        <f aca="false">CHOOSE(K$4,Inputs!$C$80,Inputs!$C$81,Inputs!$C$81)/12</f>
        <v>3333.33333333333</v>
      </c>
      <c r="L29" s="40" t="n">
        <f aca="false">CHOOSE(L$4,Inputs!$C$80,Inputs!$C$81,Inputs!$C$81)/12</f>
        <v>3333.33333333333</v>
      </c>
      <c r="M29" s="40" t="n">
        <f aca="false">CHOOSE(M$4,Inputs!$C$80,Inputs!$C$81,Inputs!$C$81)/12</f>
        <v>3333.33333333333</v>
      </c>
      <c r="N29" s="40" t="n">
        <f aca="false">CHOOSE(N$4,Inputs!$C$80,Inputs!$C$81,Inputs!$C$81)/12</f>
        <v>3333.33333333333</v>
      </c>
      <c r="O29" s="40" t="n">
        <f aca="false">CHOOSE(O$4,Inputs!$C$80,Inputs!$C$81,Inputs!$C$81)/12</f>
        <v>1666.66666666667</v>
      </c>
      <c r="P29" s="40" t="n">
        <f aca="false">CHOOSE(P$4,Inputs!$C$80,Inputs!$C$81,Inputs!$C$81)/12</f>
        <v>1666.66666666667</v>
      </c>
      <c r="Q29" s="40" t="n">
        <f aca="false">CHOOSE(Q$4,Inputs!$C$80,Inputs!$C$81,Inputs!$C$81)/12</f>
        <v>1666.66666666667</v>
      </c>
      <c r="R29" s="40" t="n">
        <f aca="false">CHOOSE(R$4,Inputs!$C$80,Inputs!$C$81,Inputs!$C$81)/12</f>
        <v>1666.66666666667</v>
      </c>
      <c r="S29" s="40" t="n">
        <f aca="false">CHOOSE(S$4,Inputs!$C$80,Inputs!$C$81,Inputs!$C$81)/12</f>
        <v>1666.66666666667</v>
      </c>
      <c r="T29" s="40" t="n">
        <f aca="false">CHOOSE(T$4,Inputs!$C$80,Inputs!$C$81,Inputs!$C$81)/12</f>
        <v>1666.66666666667</v>
      </c>
      <c r="U29" s="40" t="n">
        <f aca="false">CHOOSE(U$4,Inputs!$C$80,Inputs!$C$81,Inputs!$C$81)/12</f>
        <v>1666.66666666667</v>
      </c>
      <c r="V29" s="40" t="n">
        <f aca="false">CHOOSE(V$4,Inputs!$C$80,Inputs!$C$81,Inputs!$C$81)/12</f>
        <v>1666.66666666667</v>
      </c>
      <c r="W29" s="40" t="n">
        <f aca="false">CHOOSE(W$4,Inputs!$C$80,Inputs!$C$81,Inputs!$C$81)/12</f>
        <v>1666.66666666667</v>
      </c>
      <c r="X29" s="40" t="n">
        <f aca="false">CHOOSE(X$4,Inputs!$C$80,Inputs!$C$81,Inputs!$C$81)/12</f>
        <v>1666.66666666667</v>
      </c>
      <c r="Y29" s="40" t="n">
        <f aca="false">CHOOSE(Y$4,Inputs!$C$80,Inputs!$C$81,Inputs!$C$81)/12</f>
        <v>1666.66666666667</v>
      </c>
      <c r="Z29" s="40" t="n">
        <f aca="false">CHOOSE(Z$4,Inputs!$C$80,Inputs!$C$81,Inputs!$C$81)/12</f>
        <v>1666.66666666667</v>
      </c>
      <c r="AA29" s="40" t="n">
        <f aca="false">CHOOSE(AA$4,Inputs!$C$80,Inputs!$C$81,Inputs!$C$81)/12</f>
        <v>1666.66666666667</v>
      </c>
      <c r="AB29" s="40" t="n">
        <f aca="false">CHOOSE(AB$4,Inputs!$C$80,Inputs!$C$81,Inputs!$C$81)/12</f>
        <v>1666.66666666667</v>
      </c>
      <c r="AC29" s="40" t="n">
        <f aca="false">CHOOSE(AC$4,Inputs!$C$80,Inputs!$C$81,Inputs!$C$81)/12</f>
        <v>1666.66666666667</v>
      </c>
      <c r="AD29" s="40" t="n">
        <f aca="false">CHOOSE(AD$4,Inputs!$C$80,Inputs!$C$81,Inputs!$C$81)/12</f>
        <v>1666.66666666667</v>
      </c>
      <c r="AE29" s="40" t="n">
        <f aca="false">CHOOSE(AE$4,Inputs!$C$80,Inputs!$C$81,Inputs!$C$81)/12</f>
        <v>1666.66666666667</v>
      </c>
      <c r="AF29" s="40" t="n">
        <f aca="false">CHOOSE(AF$4,Inputs!$C$80,Inputs!$C$81,Inputs!$C$81)/12</f>
        <v>1666.66666666667</v>
      </c>
      <c r="AG29" s="40" t="n">
        <f aca="false">CHOOSE(AG$4,Inputs!$C$80,Inputs!$C$81,Inputs!$C$81)/12</f>
        <v>1666.66666666667</v>
      </c>
      <c r="AH29" s="40" t="n">
        <f aca="false">CHOOSE(AH$4,Inputs!$C$80,Inputs!$C$81,Inputs!$C$81)/12</f>
        <v>1666.66666666667</v>
      </c>
      <c r="AI29" s="40" t="n">
        <f aca="false">CHOOSE(AI$4,Inputs!$C$80,Inputs!$C$81,Inputs!$C$81)/12</f>
        <v>1666.66666666667</v>
      </c>
      <c r="AJ29" s="40" t="n">
        <f aca="false">CHOOSE(AJ$4,Inputs!$C$80,Inputs!$C$81,Inputs!$C$81)/12</f>
        <v>1666.66666666667</v>
      </c>
      <c r="AK29" s="40" t="n">
        <f aca="false">CHOOSE(AK$4,Inputs!$C$80,Inputs!$C$81,Inputs!$C$81)/12</f>
        <v>1666.66666666667</v>
      </c>
      <c r="AL29" s="40" t="n">
        <f aca="false">CHOOSE(AL$4,Inputs!$C$80,Inputs!$C$81,Inputs!$C$81)/12</f>
        <v>1666.66666666667</v>
      </c>
      <c r="AN29" s="47" t="n">
        <f aca="false">SUMIF($C$4:$AL$4,1,$C29:$AL29)</f>
        <v>40000</v>
      </c>
      <c r="AO29" s="47" t="n">
        <f aca="false">SUMIF($C$4:$AL$4,2,$C29:$AL29)</f>
        <v>20000</v>
      </c>
      <c r="AP29" s="47" t="n">
        <f aca="false">SUMIF($C$4:$AL$4,3,$C29:$AL29)</f>
        <v>20000</v>
      </c>
    </row>
    <row r="30" customFormat="false" ht="15" hidden="false" customHeight="false" outlineLevel="0" collapsed="false">
      <c r="A30" s="11" t="s">
        <v>330</v>
      </c>
      <c r="B30" s="14" t="s">
        <v>165</v>
      </c>
      <c r="C30" s="40" t="n">
        <f aca="false">CHOOSE(C$4,Inputs!$C$82,Inputs!$C$83,Inputs!$C$84)/12</f>
        <v>833.333333333333</v>
      </c>
      <c r="D30" s="40" t="n">
        <f aca="false">CHOOSE(D$4,Inputs!$C$82,Inputs!$C$83,Inputs!$C$84)/12</f>
        <v>833.333333333333</v>
      </c>
      <c r="E30" s="40" t="n">
        <f aca="false">CHOOSE(E$4,Inputs!$C$82,Inputs!$C$83,Inputs!$C$84)/12</f>
        <v>833.333333333333</v>
      </c>
      <c r="F30" s="40" t="n">
        <f aca="false">CHOOSE(F$4,Inputs!$C$82,Inputs!$C$83,Inputs!$C$84)/12</f>
        <v>833.333333333333</v>
      </c>
      <c r="G30" s="40" t="n">
        <f aca="false">CHOOSE(G$4,Inputs!$C$82,Inputs!$C$83,Inputs!$C$84)/12</f>
        <v>833.333333333333</v>
      </c>
      <c r="H30" s="40" t="n">
        <f aca="false">CHOOSE(H$4,Inputs!$C$82,Inputs!$C$83,Inputs!$C$84)/12</f>
        <v>833.333333333333</v>
      </c>
      <c r="I30" s="40" t="n">
        <f aca="false">CHOOSE(I$4,Inputs!$C$82,Inputs!$C$83,Inputs!$C$84)/12</f>
        <v>833.333333333333</v>
      </c>
      <c r="J30" s="40" t="n">
        <f aca="false">CHOOSE(J$4,Inputs!$C$82,Inputs!$C$83,Inputs!$C$84)/12</f>
        <v>833.333333333333</v>
      </c>
      <c r="K30" s="40" t="n">
        <f aca="false">CHOOSE(K$4,Inputs!$C$82,Inputs!$C$83,Inputs!$C$84)/12</f>
        <v>833.333333333333</v>
      </c>
      <c r="L30" s="40" t="n">
        <f aca="false">CHOOSE(L$4,Inputs!$C$82,Inputs!$C$83,Inputs!$C$84)/12</f>
        <v>833.333333333333</v>
      </c>
      <c r="M30" s="40" t="n">
        <f aca="false">CHOOSE(M$4,Inputs!$C$82,Inputs!$C$83,Inputs!$C$84)/12</f>
        <v>833.333333333333</v>
      </c>
      <c r="N30" s="40" t="n">
        <f aca="false">CHOOSE(N$4,Inputs!$C$82,Inputs!$C$83,Inputs!$C$84)/12</f>
        <v>833.333333333333</v>
      </c>
      <c r="O30" s="40" t="n">
        <f aca="false">CHOOSE(O$4,Inputs!$C$82,Inputs!$C$83,Inputs!$C$84)/12</f>
        <v>2500</v>
      </c>
      <c r="P30" s="40" t="n">
        <f aca="false">CHOOSE(P$4,Inputs!$C$82,Inputs!$C$83,Inputs!$C$84)/12</f>
        <v>2500</v>
      </c>
      <c r="Q30" s="40" t="n">
        <f aca="false">CHOOSE(Q$4,Inputs!$C$82,Inputs!$C$83,Inputs!$C$84)/12</f>
        <v>2500</v>
      </c>
      <c r="R30" s="40" t="n">
        <f aca="false">CHOOSE(R$4,Inputs!$C$82,Inputs!$C$83,Inputs!$C$84)/12</f>
        <v>2500</v>
      </c>
      <c r="S30" s="40" t="n">
        <f aca="false">CHOOSE(S$4,Inputs!$C$82,Inputs!$C$83,Inputs!$C$84)/12</f>
        <v>2500</v>
      </c>
      <c r="T30" s="40" t="n">
        <f aca="false">CHOOSE(T$4,Inputs!$C$82,Inputs!$C$83,Inputs!$C$84)/12</f>
        <v>2500</v>
      </c>
      <c r="U30" s="40" t="n">
        <f aca="false">CHOOSE(U$4,Inputs!$C$82,Inputs!$C$83,Inputs!$C$84)/12</f>
        <v>2500</v>
      </c>
      <c r="V30" s="40" t="n">
        <f aca="false">CHOOSE(V$4,Inputs!$C$82,Inputs!$C$83,Inputs!$C$84)/12</f>
        <v>2500</v>
      </c>
      <c r="W30" s="40" t="n">
        <f aca="false">CHOOSE(W$4,Inputs!$C$82,Inputs!$C$83,Inputs!$C$84)/12</f>
        <v>2500</v>
      </c>
      <c r="X30" s="40" t="n">
        <f aca="false">CHOOSE(X$4,Inputs!$C$82,Inputs!$C$83,Inputs!$C$84)/12</f>
        <v>2500</v>
      </c>
      <c r="Y30" s="40" t="n">
        <f aca="false">CHOOSE(Y$4,Inputs!$C$82,Inputs!$C$83,Inputs!$C$84)/12</f>
        <v>2500</v>
      </c>
      <c r="Z30" s="40" t="n">
        <f aca="false">CHOOSE(Z$4,Inputs!$C$82,Inputs!$C$83,Inputs!$C$84)/12</f>
        <v>2500</v>
      </c>
      <c r="AA30" s="40" t="n">
        <f aca="false">CHOOSE(AA$4,Inputs!$C$82,Inputs!$C$83,Inputs!$C$84)/12</f>
        <v>3750</v>
      </c>
      <c r="AB30" s="40" t="n">
        <f aca="false">CHOOSE(AB$4,Inputs!$C$82,Inputs!$C$83,Inputs!$C$84)/12</f>
        <v>3750</v>
      </c>
      <c r="AC30" s="40" t="n">
        <f aca="false">CHOOSE(AC$4,Inputs!$C$82,Inputs!$C$83,Inputs!$C$84)/12</f>
        <v>3750</v>
      </c>
      <c r="AD30" s="40" t="n">
        <f aca="false">CHOOSE(AD$4,Inputs!$C$82,Inputs!$C$83,Inputs!$C$84)/12</f>
        <v>3750</v>
      </c>
      <c r="AE30" s="40" t="n">
        <f aca="false">CHOOSE(AE$4,Inputs!$C$82,Inputs!$C$83,Inputs!$C$84)/12</f>
        <v>3750</v>
      </c>
      <c r="AF30" s="40" t="n">
        <f aca="false">CHOOSE(AF$4,Inputs!$C$82,Inputs!$C$83,Inputs!$C$84)/12</f>
        <v>3750</v>
      </c>
      <c r="AG30" s="40" t="n">
        <f aca="false">CHOOSE(AG$4,Inputs!$C$82,Inputs!$C$83,Inputs!$C$84)/12</f>
        <v>3750</v>
      </c>
      <c r="AH30" s="40" t="n">
        <f aca="false">CHOOSE(AH$4,Inputs!$C$82,Inputs!$C$83,Inputs!$C$84)/12</f>
        <v>3750</v>
      </c>
      <c r="AI30" s="40" t="n">
        <f aca="false">CHOOSE(AI$4,Inputs!$C$82,Inputs!$C$83,Inputs!$C$84)/12</f>
        <v>3750</v>
      </c>
      <c r="AJ30" s="40" t="n">
        <f aca="false">CHOOSE(AJ$4,Inputs!$C$82,Inputs!$C$83,Inputs!$C$84)/12</f>
        <v>3750</v>
      </c>
      <c r="AK30" s="40" t="n">
        <f aca="false">CHOOSE(AK$4,Inputs!$C$82,Inputs!$C$83,Inputs!$C$84)/12</f>
        <v>3750</v>
      </c>
      <c r="AL30" s="40" t="n">
        <f aca="false">CHOOSE(AL$4,Inputs!$C$82,Inputs!$C$83,Inputs!$C$84)/12</f>
        <v>3750</v>
      </c>
      <c r="AN30" s="47" t="n">
        <f aca="false">SUMIF($C$4:$AL$4,1,$C30:$AL30)</f>
        <v>10000</v>
      </c>
      <c r="AO30" s="47" t="n">
        <f aca="false">SUMIF($C$4:$AL$4,2,$C30:$AL30)</f>
        <v>30000</v>
      </c>
      <c r="AP30" s="47" t="n">
        <f aca="false">SUMIF($C$4:$AL$4,3,$C30:$AL30)</f>
        <v>45000</v>
      </c>
    </row>
    <row r="31" customFormat="false" ht="15" hidden="false" customHeight="false" outlineLevel="0" collapsed="false">
      <c r="A31" s="11" t="s">
        <v>331</v>
      </c>
      <c r="B31" s="14" t="s">
        <v>165</v>
      </c>
      <c r="C31" s="40" t="n">
        <f aca="false">CHOOSE(C$4,Inputs!$C$85,Inputs!$C$86,Inputs!$C$87)/12</f>
        <v>3333.33333333333</v>
      </c>
      <c r="D31" s="40" t="n">
        <f aca="false">CHOOSE(D$4,Inputs!$C$85,Inputs!$C$86,Inputs!$C$87)/12</f>
        <v>3333.33333333333</v>
      </c>
      <c r="E31" s="40" t="n">
        <f aca="false">CHOOSE(E$4,Inputs!$C$85,Inputs!$C$86,Inputs!$C$87)/12</f>
        <v>3333.33333333333</v>
      </c>
      <c r="F31" s="40" t="n">
        <f aca="false">CHOOSE(F$4,Inputs!$C$85,Inputs!$C$86,Inputs!$C$87)/12</f>
        <v>3333.33333333333</v>
      </c>
      <c r="G31" s="40" t="n">
        <f aca="false">CHOOSE(G$4,Inputs!$C$85,Inputs!$C$86,Inputs!$C$87)/12</f>
        <v>3333.33333333333</v>
      </c>
      <c r="H31" s="40" t="n">
        <f aca="false">CHOOSE(H$4,Inputs!$C$85,Inputs!$C$86,Inputs!$C$87)/12</f>
        <v>3333.33333333333</v>
      </c>
      <c r="I31" s="40" t="n">
        <f aca="false">CHOOSE(I$4,Inputs!$C$85,Inputs!$C$86,Inputs!$C$87)/12</f>
        <v>3333.33333333333</v>
      </c>
      <c r="J31" s="40" t="n">
        <f aca="false">CHOOSE(J$4,Inputs!$C$85,Inputs!$C$86,Inputs!$C$87)/12</f>
        <v>3333.33333333333</v>
      </c>
      <c r="K31" s="40" t="n">
        <f aca="false">CHOOSE(K$4,Inputs!$C$85,Inputs!$C$86,Inputs!$C$87)/12</f>
        <v>3333.33333333333</v>
      </c>
      <c r="L31" s="40" t="n">
        <f aca="false">CHOOSE(L$4,Inputs!$C$85,Inputs!$C$86,Inputs!$C$87)/12</f>
        <v>3333.33333333333</v>
      </c>
      <c r="M31" s="40" t="n">
        <f aca="false">CHOOSE(M$4,Inputs!$C$85,Inputs!$C$86,Inputs!$C$87)/12</f>
        <v>3333.33333333333</v>
      </c>
      <c r="N31" s="40" t="n">
        <f aca="false">CHOOSE(N$4,Inputs!$C$85,Inputs!$C$86,Inputs!$C$87)/12</f>
        <v>3333.33333333333</v>
      </c>
      <c r="O31" s="40" t="n">
        <f aca="false">CHOOSE(O$4,Inputs!$C$85,Inputs!$C$86,Inputs!$C$87)/12</f>
        <v>5000</v>
      </c>
      <c r="P31" s="40" t="n">
        <f aca="false">CHOOSE(P$4,Inputs!$C$85,Inputs!$C$86,Inputs!$C$87)/12</f>
        <v>5000</v>
      </c>
      <c r="Q31" s="40" t="n">
        <f aca="false">CHOOSE(Q$4,Inputs!$C$85,Inputs!$C$86,Inputs!$C$87)/12</f>
        <v>5000</v>
      </c>
      <c r="R31" s="40" t="n">
        <f aca="false">CHOOSE(R$4,Inputs!$C$85,Inputs!$C$86,Inputs!$C$87)/12</f>
        <v>5000</v>
      </c>
      <c r="S31" s="40" t="n">
        <f aca="false">CHOOSE(S$4,Inputs!$C$85,Inputs!$C$86,Inputs!$C$87)/12</f>
        <v>5000</v>
      </c>
      <c r="T31" s="40" t="n">
        <f aca="false">CHOOSE(T$4,Inputs!$C$85,Inputs!$C$86,Inputs!$C$87)/12</f>
        <v>5000</v>
      </c>
      <c r="U31" s="40" t="n">
        <f aca="false">CHOOSE(U$4,Inputs!$C$85,Inputs!$C$86,Inputs!$C$87)/12</f>
        <v>5000</v>
      </c>
      <c r="V31" s="40" t="n">
        <f aca="false">CHOOSE(V$4,Inputs!$C$85,Inputs!$C$86,Inputs!$C$87)/12</f>
        <v>5000</v>
      </c>
      <c r="W31" s="40" t="n">
        <f aca="false">CHOOSE(W$4,Inputs!$C$85,Inputs!$C$86,Inputs!$C$87)/12</f>
        <v>5000</v>
      </c>
      <c r="X31" s="40" t="n">
        <f aca="false">CHOOSE(X$4,Inputs!$C$85,Inputs!$C$86,Inputs!$C$87)/12</f>
        <v>5000</v>
      </c>
      <c r="Y31" s="40" t="n">
        <f aca="false">CHOOSE(Y$4,Inputs!$C$85,Inputs!$C$86,Inputs!$C$87)/12</f>
        <v>5000</v>
      </c>
      <c r="Z31" s="40" t="n">
        <f aca="false">CHOOSE(Z$4,Inputs!$C$85,Inputs!$C$86,Inputs!$C$87)/12</f>
        <v>5000</v>
      </c>
      <c r="AA31" s="40" t="n">
        <f aca="false">CHOOSE(AA$4,Inputs!$C$85,Inputs!$C$86,Inputs!$C$87)/12</f>
        <v>8333.33333333333</v>
      </c>
      <c r="AB31" s="40" t="n">
        <f aca="false">CHOOSE(AB$4,Inputs!$C$85,Inputs!$C$86,Inputs!$C$87)/12</f>
        <v>8333.33333333333</v>
      </c>
      <c r="AC31" s="40" t="n">
        <f aca="false">CHOOSE(AC$4,Inputs!$C$85,Inputs!$C$86,Inputs!$C$87)/12</f>
        <v>8333.33333333333</v>
      </c>
      <c r="AD31" s="40" t="n">
        <f aca="false">CHOOSE(AD$4,Inputs!$C$85,Inputs!$C$86,Inputs!$C$87)/12</f>
        <v>8333.33333333333</v>
      </c>
      <c r="AE31" s="40" t="n">
        <f aca="false">CHOOSE(AE$4,Inputs!$C$85,Inputs!$C$86,Inputs!$C$87)/12</f>
        <v>8333.33333333333</v>
      </c>
      <c r="AF31" s="40" t="n">
        <f aca="false">CHOOSE(AF$4,Inputs!$C$85,Inputs!$C$86,Inputs!$C$87)/12</f>
        <v>8333.33333333333</v>
      </c>
      <c r="AG31" s="40" t="n">
        <f aca="false">CHOOSE(AG$4,Inputs!$C$85,Inputs!$C$86,Inputs!$C$87)/12</f>
        <v>8333.33333333333</v>
      </c>
      <c r="AH31" s="40" t="n">
        <f aca="false">CHOOSE(AH$4,Inputs!$C$85,Inputs!$C$86,Inputs!$C$87)/12</f>
        <v>8333.33333333333</v>
      </c>
      <c r="AI31" s="40" t="n">
        <f aca="false">CHOOSE(AI$4,Inputs!$C$85,Inputs!$C$86,Inputs!$C$87)/12</f>
        <v>8333.33333333333</v>
      </c>
      <c r="AJ31" s="40" t="n">
        <f aca="false">CHOOSE(AJ$4,Inputs!$C$85,Inputs!$C$86,Inputs!$C$87)/12</f>
        <v>8333.33333333333</v>
      </c>
      <c r="AK31" s="40" t="n">
        <f aca="false">CHOOSE(AK$4,Inputs!$C$85,Inputs!$C$86,Inputs!$C$87)/12</f>
        <v>8333.33333333333</v>
      </c>
      <c r="AL31" s="40" t="n">
        <f aca="false">CHOOSE(AL$4,Inputs!$C$85,Inputs!$C$86,Inputs!$C$87)/12</f>
        <v>8333.33333333333</v>
      </c>
      <c r="AN31" s="47" t="n">
        <f aca="false">SUMIF($C$4:$AL$4,1,$C31:$AL31)</f>
        <v>40000</v>
      </c>
      <c r="AO31" s="47" t="n">
        <f aca="false">SUMIF($C$4:$AL$4,2,$C31:$AL31)</f>
        <v>60000</v>
      </c>
      <c r="AP31" s="47" t="n">
        <f aca="false">SUMIF($C$4:$AL$4,3,$C31:$AL31)</f>
        <v>100000</v>
      </c>
    </row>
    <row r="32" customFormat="false" ht="15" hidden="false" customHeight="false" outlineLevel="0" collapsed="false">
      <c r="A32" s="11" t="s">
        <v>332</v>
      </c>
      <c r="B32" s="14" t="s">
        <v>165</v>
      </c>
      <c r="C32" s="40" t="n">
        <f aca="false">CHOOSE(C$4,Inputs!$C$88,Inputs!$C$89,Inputs!$C$90)/12</f>
        <v>2500</v>
      </c>
      <c r="D32" s="40" t="n">
        <f aca="false">CHOOSE(D$4,Inputs!$C$88,Inputs!$C$89,Inputs!$C$90)/12</f>
        <v>2500</v>
      </c>
      <c r="E32" s="40" t="n">
        <f aca="false">CHOOSE(E$4,Inputs!$C$88,Inputs!$C$89,Inputs!$C$90)/12</f>
        <v>2500</v>
      </c>
      <c r="F32" s="40" t="n">
        <f aca="false">CHOOSE(F$4,Inputs!$C$88,Inputs!$C$89,Inputs!$C$90)/12</f>
        <v>2500</v>
      </c>
      <c r="G32" s="40" t="n">
        <f aca="false">CHOOSE(G$4,Inputs!$C$88,Inputs!$C$89,Inputs!$C$90)/12</f>
        <v>2500</v>
      </c>
      <c r="H32" s="40" t="n">
        <f aca="false">CHOOSE(H$4,Inputs!$C$88,Inputs!$C$89,Inputs!$C$90)/12</f>
        <v>2500</v>
      </c>
      <c r="I32" s="40" t="n">
        <f aca="false">CHOOSE(I$4,Inputs!$C$88,Inputs!$C$89,Inputs!$C$90)/12</f>
        <v>2500</v>
      </c>
      <c r="J32" s="40" t="n">
        <f aca="false">CHOOSE(J$4,Inputs!$C$88,Inputs!$C$89,Inputs!$C$90)/12</f>
        <v>2500</v>
      </c>
      <c r="K32" s="40" t="n">
        <f aca="false">CHOOSE(K$4,Inputs!$C$88,Inputs!$C$89,Inputs!$C$90)/12</f>
        <v>2500</v>
      </c>
      <c r="L32" s="40" t="n">
        <f aca="false">CHOOSE(L$4,Inputs!$C$88,Inputs!$C$89,Inputs!$C$90)/12</f>
        <v>2500</v>
      </c>
      <c r="M32" s="40" t="n">
        <f aca="false">CHOOSE(M$4,Inputs!$C$88,Inputs!$C$89,Inputs!$C$90)/12</f>
        <v>2500</v>
      </c>
      <c r="N32" s="40" t="n">
        <f aca="false">CHOOSE(N$4,Inputs!$C$88,Inputs!$C$89,Inputs!$C$90)/12</f>
        <v>2500</v>
      </c>
      <c r="O32" s="40" t="n">
        <f aca="false">CHOOSE(O$4,Inputs!$C$88,Inputs!$C$89,Inputs!$C$90)/12</f>
        <v>3333.33333333333</v>
      </c>
      <c r="P32" s="40" t="n">
        <f aca="false">CHOOSE(P$4,Inputs!$C$88,Inputs!$C$89,Inputs!$C$90)/12</f>
        <v>3333.33333333333</v>
      </c>
      <c r="Q32" s="40" t="n">
        <f aca="false">CHOOSE(Q$4,Inputs!$C$88,Inputs!$C$89,Inputs!$C$90)/12</f>
        <v>3333.33333333333</v>
      </c>
      <c r="R32" s="40" t="n">
        <f aca="false">CHOOSE(R$4,Inputs!$C$88,Inputs!$C$89,Inputs!$C$90)/12</f>
        <v>3333.33333333333</v>
      </c>
      <c r="S32" s="40" t="n">
        <f aca="false">CHOOSE(S$4,Inputs!$C$88,Inputs!$C$89,Inputs!$C$90)/12</f>
        <v>3333.33333333333</v>
      </c>
      <c r="T32" s="40" t="n">
        <f aca="false">CHOOSE(T$4,Inputs!$C$88,Inputs!$C$89,Inputs!$C$90)/12</f>
        <v>3333.33333333333</v>
      </c>
      <c r="U32" s="40" t="n">
        <f aca="false">CHOOSE(U$4,Inputs!$C$88,Inputs!$C$89,Inputs!$C$90)/12</f>
        <v>3333.33333333333</v>
      </c>
      <c r="V32" s="40" t="n">
        <f aca="false">CHOOSE(V$4,Inputs!$C$88,Inputs!$C$89,Inputs!$C$90)/12</f>
        <v>3333.33333333333</v>
      </c>
      <c r="W32" s="40" t="n">
        <f aca="false">CHOOSE(W$4,Inputs!$C$88,Inputs!$C$89,Inputs!$C$90)/12</f>
        <v>3333.33333333333</v>
      </c>
      <c r="X32" s="40" t="n">
        <f aca="false">CHOOSE(X$4,Inputs!$C$88,Inputs!$C$89,Inputs!$C$90)/12</f>
        <v>3333.33333333333</v>
      </c>
      <c r="Y32" s="40" t="n">
        <f aca="false">CHOOSE(Y$4,Inputs!$C$88,Inputs!$C$89,Inputs!$C$90)/12</f>
        <v>3333.33333333333</v>
      </c>
      <c r="Z32" s="40" t="n">
        <f aca="false">CHOOSE(Z$4,Inputs!$C$88,Inputs!$C$89,Inputs!$C$90)/12</f>
        <v>3333.33333333333</v>
      </c>
      <c r="AA32" s="40" t="n">
        <f aca="false">CHOOSE(AA$4,Inputs!$C$88,Inputs!$C$89,Inputs!$C$90)/12</f>
        <v>5000</v>
      </c>
      <c r="AB32" s="40" t="n">
        <f aca="false">CHOOSE(AB$4,Inputs!$C$88,Inputs!$C$89,Inputs!$C$90)/12</f>
        <v>5000</v>
      </c>
      <c r="AC32" s="40" t="n">
        <f aca="false">CHOOSE(AC$4,Inputs!$C$88,Inputs!$C$89,Inputs!$C$90)/12</f>
        <v>5000</v>
      </c>
      <c r="AD32" s="40" t="n">
        <f aca="false">CHOOSE(AD$4,Inputs!$C$88,Inputs!$C$89,Inputs!$C$90)/12</f>
        <v>5000</v>
      </c>
      <c r="AE32" s="40" t="n">
        <f aca="false">CHOOSE(AE$4,Inputs!$C$88,Inputs!$C$89,Inputs!$C$90)/12</f>
        <v>5000</v>
      </c>
      <c r="AF32" s="40" t="n">
        <f aca="false">CHOOSE(AF$4,Inputs!$C$88,Inputs!$C$89,Inputs!$C$90)/12</f>
        <v>5000</v>
      </c>
      <c r="AG32" s="40" t="n">
        <f aca="false">CHOOSE(AG$4,Inputs!$C$88,Inputs!$C$89,Inputs!$C$90)/12</f>
        <v>5000</v>
      </c>
      <c r="AH32" s="40" t="n">
        <f aca="false">CHOOSE(AH$4,Inputs!$C$88,Inputs!$C$89,Inputs!$C$90)/12</f>
        <v>5000</v>
      </c>
      <c r="AI32" s="40" t="n">
        <f aca="false">CHOOSE(AI$4,Inputs!$C$88,Inputs!$C$89,Inputs!$C$90)/12</f>
        <v>5000</v>
      </c>
      <c r="AJ32" s="40" t="n">
        <f aca="false">CHOOSE(AJ$4,Inputs!$C$88,Inputs!$C$89,Inputs!$C$90)/12</f>
        <v>5000</v>
      </c>
      <c r="AK32" s="40" t="n">
        <f aca="false">CHOOSE(AK$4,Inputs!$C$88,Inputs!$C$89,Inputs!$C$90)/12</f>
        <v>5000</v>
      </c>
      <c r="AL32" s="40" t="n">
        <f aca="false">CHOOSE(AL$4,Inputs!$C$88,Inputs!$C$89,Inputs!$C$90)/12</f>
        <v>5000</v>
      </c>
      <c r="AN32" s="47" t="n">
        <f aca="false">SUMIF($C$4:$AL$4,1,$C32:$AL32)</f>
        <v>30000</v>
      </c>
      <c r="AO32" s="47" t="n">
        <f aca="false">SUMIF($C$4:$AL$4,2,$C32:$AL32)</f>
        <v>40000</v>
      </c>
      <c r="AP32" s="47" t="n">
        <f aca="false">SUMIF($C$4:$AL$4,3,$C32:$AL32)</f>
        <v>60000</v>
      </c>
    </row>
    <row r="33" customFormat="false" ht="15" hidden="false" customHeight="false" outlineLevel="0" collapsed="false">
      <c r="A33" s="11" t="s">
        <v>207</v>
      </c>
      <c r="B33" s="14" t="s">
        <v>165</v>
      </c>
      <c r="C33" s="40" t="n">
        <f aca="false">IF(C$4=1,Inputs!$C$91/12,Inputs!$C$92*SUM(C25:C32))</f>
        <v>3000</v>
      </c>
      <c r="D33" s="40" t="n">
        <f aca="false">IF(D$4=1,Inputs!$C$91/12,Inputs!$C$92*SUM(D25:D32))</f>
        <v>3000</v>
      </c>
      <c r="E33" s="40" t="n">
        <f aca="false">IF(E$4=1,Inputs!$C$91/12,Inputs!$C$92*SUM(E25:E32))</f>
        <v>3000</v>
      </c>
      <c r="F33" s="40" t="n">
        <f aca="false">IF(F$4=1,Inputs!$C$91/12,Inputs!$C$92*SUM(F25:F32))</f>
        <v>3000</v>
      </c>
      <c r="G33" s="40" t="n">
        <f aca="false">IF(G$4=1,Inputs!$C$91/12,Inputs!$C$92*SUM(G25:G32))</f>
        <v>3000</v>
      </c>
      <c r="H33" s="40" t="n">
        <f aca="false">IF(H$4=1,Inputs!$C$91/12,Inputs!$C$92*SUM(H25:H32))</f>
        <v>3000</v>
      </c>
      <c r="I33" s="40" t="n">
        <f aca="false">IF(I$4=1,Inputs!$C$91/12,Inputs!$C$92*SUM(I25:I32))</f>
        <v>3000</v>
      </c>
      <c r="J33" s="40" t="n">
        <f aca="false">IF(J$4=1,Inputs!$C$91/12,Inputs!$C$92*SUM(J25:J32))</f>
        <v>3000</v>
      </c>
      <c r="K33" s="40" t="n">
        <f aca="false">IF(K$4=1,Inputs!$C$91/12,Inputs!$C$92*SUM(K25:K32))</f>
        <v>3000</v>
      </c>
      <c r="L33" s="40" t="n">
        <f aca="false">IF(L$4=1,Inputs!$C$91/12,Inputs!$C$92*SUM(L25:L32))</f>
        <v>3000</v>
      </c>
      <c r="M33" s="40" t="n">
        <f aca="false">IF(M$4=1,Inputs!$C$91/12,Inputs!$C$92*SUM(M25:M32))</f>
        <v>3000</v>
      </c>
      <c r="N33" s="40" t="n">
        <f aca="false">IF(N$4=1,Inputs!$C$91/12,Inputs!$C$92*SUM(N25:N32))</f>
        <v>3000</v>
      </c>
      <c r="O33" s="40" t="n">
        <f aca="false">IF(O$4=1,Inputs!$C$91/12,Inputs!$C$92*SUM(O25:O32))</f>
        <v>2197.08958573461</v>
      </c>
      <c r="P33" s="40" t="n">
        <f aca="false">IF(P$4=1,Inputs!$C$91/12,Inputs!$C$92*SUM(P25:P32))</f>
        <v>2203.61446068659</v>
      </c>
      <c r="Q33" s="40" t="n">
        <f aca="false">IF(Q$4=1,Inputs!$C$91/12,Inputs!$C$92*SUM(Q25:Q32))</f>
        <v>2210.00883813952</v>
      </c>
      <c r="R33" s="40" t="n">
        <f aca="false">IF(R$4=1,Inputs!$C$91/12,Inputs!$C$92*SUM(R25:R32))</f>
        <v>2216.2753280434</v>
      </c>
      <c r="S33" s="40" t="n">
        <f aca="false">IF(S$4=1,Inputs!$C$91/12,Inputs!$C$92*SUM(S25:S32))</f>
        <v>2222.4164881492</v>
      </c>
      <c r="T33" s="40" t="n">
        <f aca="false">IF(T$4=1,Inputs!$C$91/12,Inputs!$C$92*SUM(T25:T32))</f>
        <v>2233.43482505288</v>
      </c>
      <c r="U33" s="40" t="n">
        <f aca="false">IF(U$4=1,Inputs!$C$91/12,Inputs!$C$92*SUM(U25:U32))</f>
        <v>3784.33279521849</v>
      </c>
      <c r="V33" s="40" t="n">
        <f aca="false">IF(V$4=1,Inputs!$C$91/12,Inputs!$C$92*SUM(V25:V32))</f>
        <v>3795.11280598079</v>
      </c>
      <c r="W33" s="40" t="n">
        <f aca="false">IF(W$4=1,Inputs!$C$91/12,Inputs!$C$92*SUM(W25:W32))</f>
        <v>3805.77721652784</v>
      </c>
      <c r="X33" s="40" t="n">
        <f aca="false">IF(X$4=1,Inputs!$C$91/12,Inputs!$C$92*SUM(X25:X32))</f>
        <v>4329.66167219728</v>
      </c>
      <c r="Y33" s="40" t="n">
        <f aca="false">IF(Y$4=1,Inputs!$C$91/12,Inputs!$C$92*SUM(Y25:Y32))</f>
        <v>4340.10177208667</v>
      </c>
      <c r="Z33" s="40" t="n">
        <f aca="false">IF(Z$4=1,Inputs!$C$91/12,Inputs!$C$92*SUM(Z25:Z32))</f>
        <v>4350.43306997827</v>
      </c>
      <c r="AA33" s="40" t="n">
        <f aca="false">IF(AA$4=1,Inputs!$C$91/12,Inputs!$C$92*SUM(AA25:AA32))</f>
        <v>4675.65774191204</v>
      </c>
      <c r="AB33" s="40" t="n">
        <f aca="false">IF(AB$4=1,Inputs!$C$91/12,Inputs!$C$92*SUM(AB25:AB32))</f>
        <v>4688.22792040713</v>
      </c>
      <c r="AC33" s="40" t="n">
        <f aca="false">IF(AC$4=1,Inputs!$C$91/12,Inputs!$C$92*SUM(AC25:AC32))</f>
        <v>4705.64669533232</v>
      </c>
      <c r="AD33" s="40" t="n">
        <f aca="false">IF(AD$4=1,Inputs!$C$91/12,Inputs!$C$92*SUM(AD25:AD32))</f>
        <v>5469.58376142567</v>
      </c>
      <c r="AE33" s="40" t="n">
        <f aca="false">IF(AE$4=1,Inputs!$C$91/12,Inputs!$C$92*SUM(AE25:AE32))</f>
        <v>5486.70875286383</v>
      </c>
      <c r="AF33" s="40" t="n">
        <f aca="false">IF(AF$4=1,Inputs!$C$91/12,Inputs!$C$92*SUM(AF25:AF32))</f>
        <v>5503.69124447322</v>
      </c>
      <c r="AG33" s="40" t="n">
        <f aca="false">IF(AG$4=1,Inputs!$C$91/12,Inputs!$C$92*SUM(AG25:AG32))</f>
        <v>6033.86741958375</v>
      </c>
      <c r="AH33" s="40" t="n">
        <f aca="false">IF(AH$4=1,Inputs!$C$91/12,Inputs!$C$92*SUM(AH25:AH32))</f>
        <v>6050.57340452541</v>
      </c>
      <c r="AI33" s="40" t="n">
        <f aca="false">IF(AI$4=1,Inputs!$C$91/12,Inputs!$C$92*SUM(AI25:AI32))</f>
        <v>6072.14526976824</v>
      </c>
      <c r="AJ33" s="40" t="n">
        <f aca="false">IF(AJ$4=1,Inputs!$C$91/12,Inputs!$C$92*SUM(AJ25:AJ32))</f>
        <v>6093.58569770621</v>
      </c>
      <c r="AK33" s="40" t="n">
        <f aca="false">IF(AK$4=1,Inputs!$C$91/12,Inputs!$C$92*SUM(AK25:AK32))</f>
        <v>6114.89731708541</v>
      </c>
      <c r="AL33" s="40" t="n">
        <f aca="false">IF(AL$4=1,Inputs!$C$91/12,Inputs!$C$92*SUM(AL25:AL32))</f>
        <v>6136.08270407704</v>
      </c>
      <c r="AN33" s="47" t="n">
        <f aca="false">SUMIF($C$4:$AL$4,1,$C33:$AL33)</f>
        <v>36000</v>
      </c>
      <c r="AO33" s="47" t="n">
        <f aca="false">SUMIF($C$4:$AL$4,2,$C33:$AL33)</f>
        <v>37688.2588577955</v>
      </c>
      <c r="AP33" s="47" t="n">
        <f aca="false">SUMIF($C$4:$AL$4,3,$C33:$AL33)</f>
        <v>67030.6679291603</v>
      </c>
    </row>
    <row r="34" customFormat="false" ht="15" hidden="false" customHeight="false" outlineLevel="0" collapsed="false">
      <c r="A34" s="23" t="s">
        <v>208</v>
      </c>
      <c r="B34" s="14" t="s">
        <v>165</v>
      </c>
      <c r="C34" s="49" t="n">
        <f aca="false">SUM(C25:C33)</f>
        <v>61800</v>
      </c>
      <c r="D34" s="49" t="n">
        <f aca="false">SUM(D25:D33)</f>
        <v>61800</v>
      </c>
      <c r="E34" s="49" t="n">
        <f aca="false">SUM(E25:E33)</f>
        <v>62200</v>
      </c>
      <c r="F34" s="49" t="n">
        <f aca="false">SUM(F25:F33)</f>
        <v>62200</v>
      </c>
      <c r="G34" s="49" t="n">
        <f aca="false">SUM(G25:G33)</f>
        <v>62200</v>
      </c>
      <c r="H34" s="49" t="n">
        <f aca="false">SUM(H25:H33)</f>
        <v>62200</v>
      </c>
      <c r="I34" s="49" t="n">
        <f aca="false">SUM(I25:I33)</f>
        <v>62200</v>
      </c>
      <c r="J34" s="49" t="n">
        <f aca="false">SUM(J25:J33)</f>
        <v>62292</v>
      </c>
      <c r="K34" s="49" t="n">
        <f aca="false">SUM(K25:K33)</f>
        <v>62382.16</v>
      </c>
      <c r="L34" s="49" t="n">
        <f aca="false">SUM(L25:L33)</f>
        <v>62470.5168</v>
      </c>
      <c r="M34" s="49" t="n">
        <f aca="false">SUM(M25:M33)</f>
        <v>62557.106464</v>
      </c>
      <c r="N34" s="49" t="n">
        <f aca="false">SUM(N25:N33)</f>
        <v>62641.96433472</v>
      </c>
      <c r="O34" s="49" t="n">
        <f aca="false">SUM(O25:O33)</f>
        <v>46138.8813004269</v>
      </c>
      <c r="P34" s="49" t="n">
        <f aca="false">SUM(P25:P33)</f>
        <v>46275.9036744183</v>
      </c>
      <c r="Q34" s="49" t="n">
        <f aca="false">SUM(Q25:Q33)</f>
        <v>46410.18560093</v>
      </c>
      <c r="R34" s="49" t="n">
        <f aca="false">SUM(R25:R33)</f>
        <v>46541.7818889114</v>
      </c>
      <c r="S34" s="49" t="n">
        <f aca="false">SUM(S25:S33)</f>
        <v>46670.7462511332</v>
      </c>
      <c r="T34" s="49" t="n">
        <f aca="false">SUM(T25:T33)</f>
        <v>46902.1313261105</v>
      </c>
      <c r="U34" s="49" t="n">
        <f aca="false">SUM(U25:U33)</f>
        <v>79470.9886995883</v>
      </c>
      <c r="V34" s="49" t="n">
        <f aca="false">SUM(V25:V33)</f>
        <v>79697.3689255965</v>
      </c>
      <c r="W34" s="49" t="n">
        <f aca="false">SUM(W25:W33)</f>
        <v>79921.3215470846</v>
      </c>
      <c r="X34" s="49" t="n">
        <f aca="false">SUM(X25:X33)</f>
        <v>90922.8951161429</v>
      </c>
      <c r="Y34" s="49" t="n">
        <f aca="false">SUM(Y25:Y33)</f>
        <v>91142.13721382</v>
      </c>
      <c r="Z34" s="49" t="n">
        <f aca="false">SUM(Z25:Z33)</f>
        <v>91359.0944695436</v>
      </c>
      <c r="AA34" s="49" t="n">
        <f aca="false">SUM(AA25:AA33)</f>
        <v>98188.8125801528</v>
      </c>
      <c r="AB34" s="49" t="n">
        <f aca="false">SUM(AB25:AB33)</f>
        <v>98452.7863285497</v>
      </c>
      <c r="AC34" s="49" t="n">
        <f aca="false">SUM(AC25:AC33)</f>
        <v>98818.5806019787</v>
      </c>
      <c r="AD34" s="49" t="n">
        <f aca="false">SUM(AD25:AD33)</f>
        <v>114861.258989939</v>
      </c>
      <c r="AE34" s="49" t="n">
        <f aca="false">SUM(AE25:AE33)</f>
        <v>115220.88381014</v>
      </c>
      <c r="AF34" s="49" t="n">
        <f aca="false">SUM(AF25:AF33)</f>
        <v>115577.516133938</v>
      </c>
      <c r="AG34" s="49" t="n">
        <f aca="false">SUM(AG25:AG33)</f>
        <v>126711.215811259</v>
      </c>
      <c r="AH34" s="49" t="n">
        <f aca="false">SUM(AH25:AH33)</f>
        <v>127062.041495034</v>
      </c>
      <c r="AI34" s="49" t="n">
        <f aca="false">SUM(AI25:AI33)</f>
        <v>127515.050665133</v>
      </c>
      <c r="AJ34" s="49" t="n">
        <f aca="false">SUM(AJ25:AJ33)</f>
        <v>127965.29965183</v>
      </c>
      <c r="AK34" s="49" t="n">
        <f aca="false">SUM(AK25:AK33)</f>
        <v>128412.843658794</v>
      </c>
      <c r="AL34" s="49" t="n">
        <f aca="false">SUM(AL25:AL33)</f>
        <v>128857.736785618</v>
      </c>
      <c r="AN34" s="50" t="n">
        <f aca="false">SUMIF($C$4:$AL$4,1,$C34:$AL34)</f>
        <v>746943.74759872</v>
      </c>
      <c r="AO34" s="50" t="n">
        <f aca="false">SUMIF($C$4:$AL$4,2,$C34:$AL34)</f>
        <v>791453.436013706</v>
      </c>
      <c r="AP34" s="50" t="n">
        <f aca="false">SUMIF($C$4:$AL$4,3,$C34:$AL34)</f>
        <v>1407644.02651237</v>
      </c>
    </row>
    <row r="36" customFormat="false" ht="15" hidden="false" customHeight="false" outlineLevel="0" collapsed="false">
      <c r="A36" s="23" t="s">
        <v>210</v>
      </c>
      <c r="B36" s="14" t="s">
        <v>165</v>
      </c>
      <c r="C36" s="51" t="n">
        <f aca="false">C20-C34</f>
        <v>-61800</v>
      </c>
      <c r="D36" s="51" t="n">
        <f aca="false">D20-D34</f>
        <v>-61800</v>
      </c>
      <c r="E36" s="51" t="n">
        <f aca="false">E20-E34</f>
        <v>-62200</v>
      </c>
      <c r="F36" s="51" t="n">
        <f aca="false">F20-F34</f>
        <v>-62200</v>
      </c>
      <c r="G36" s="51" t="n">
        <f aca="false">G20-G34</f>
        <v>-62200</v>
      </c>
      <c r="H36" s="51" t="n">
        <f aca="false">H20-H34</f>
        <v>-62200</v>
      </c>
      <c r="I36" s="51" t="n">
        <f aca="false">I20-I34</f>
        <v>-55200</v>
      </c>
      <c r="J36" s="51" t="n">
        <f aca="false">J20-J34</f>
        <v>-53682</v>
      </c>
      <c r="K36" s="51" t="n">
        <f aca="false">K20-K34</f>
        <v>-52194.36</v>
      </c>
      <c r="L36" s="51" t="n">
        <f aca="false">L20-L34</f>
        <v>-50736.4728</v>
      </c>
      <c r="M36" s="51" t="n">
        <f aca="false">M20-M34</f>
        <v>-49307.743344</v>
      </c>
      <c r="N36" s="51" t="n">
        <f aca="false">N20-N34</f>
        <v>-47907.58847712</v>
      </c>
      <c r="O36" s="51" t="n">
        <f aca="false">O20-O34</f>
        <v>-29074.1929599789</v>
      </c>
      <c r="P36" s="51" t="n">
        <f aca="false">P20-P34</f>
        <v>-26927.5091007793</v>
      </c>
      <c r="Q36" s="51" t="n">
        <f aca="false">Q20-Q34</f>
        <v>-24823.7589187637</v>
      </c>
      <c r="R36" s="51" t="n">
        <f aca="false">R20-R34</f>
        <v>-22762.0837403884</v>
      </c>
      <c r="S36" s="51" t="n">
        <f aca="false">S20-S34</f>
        <v>-20741.6420655807</v>
      </c>
      <c r="T36" s="51" t="n">
        <f aca="false">T20-T34</f>
        <v>-17116.6092242691</v>
      </c>
      <c r="U36" s="51" t="n">
        <f aca="false">U20-U34</f>
        <v>-45871.1770397837</v>
      </c>
      <c r="V36" s="51" t="n">
        <f aca="false">V20-V34</f>
        <v>-42324.553498988</v>
      </c>
      <c r="W36" s="51" t="n">
        <f aca="false">W20-W34</f>
        <v>-38815.9624290083</v>
      </c>
      <c r="X36" s="51" t="n">
        <f aca="false">X20-X34</f>
        <v>-46124.6431804281</v>
      </c>
      <c r="Y36" s="51" t="n">
        <f aca="false">Y20-Y34</f>
        <v>-42689.8503168195</v>
      </c>
      <c r="Z36" s="51" t="n">
        <f aca="false">Z20-Z34</f>
        <v>-39290.8533104831</v>
      </c>
      <c r="AA36" s="51" t="n">
        <f aca="false">AA20-AA34</f>
        <v>-41666.9362442735</v>
      </c>
      <c r="AB36" s="51" t="n">
        <f aca="false">AB20-AB34</f>
        <v>-37531.347519388</v>
      </c>
      <c r="AC36" s="51" t="n">
        <f aca="false">AC20-AC34</f>
        <v>-31800.5705690003</v>
      </c>
      <c r="AD36" s="51" t="n">
        <f aca="false">AD20-AD34</f>
        <v>-41798.6091576203</v>
      </c>
      <c r="AE36" s="51" t="n">
        <f aca="false">AE20-AE34</f>
        <v>-36164.4869744678</v>
      </c>
      <c r="AF36" s="51" t="n">
        <f aca="false">AF20-AF34</f>
        <v>-30577.2472349785</v>
      </c>
      <c r="AG36" s="51" t="n">
        <f aca="false">AG20-AG34</f>
        <v>-35815.9522902789</v>
      </c>
      <c r="AH36" s="51" t="n">
        <f aca="false">AH20-AH34</f>
        <v>-30319.6832444734</v>
      </c>
      <c r="AI36" s="51" t="n">
        <f aca="false">AI20-AI34</f>
        <v>-23222.5395795839</v>
      </c>
      <c r="AJ36" s="51" t="n">
        <f aca="false">AJ20-AJ34</f>
        <v>-16168.6387879922</v>
      </c>
      <c r="AK36" s="51" t="n">
        <f aca="false">AK20-AK34</f>
        <v>-9157.11601223236</v>
      </c>
      <c r="AL36" s="51" t="n">
        <f aca="false">AL20-AL34</f>
        <v>-2187.12369198773</v>
      </c>
      <c r="AN36" s="52" t="n">
        <f aca="false">SUMIF($C$4:$AL$4,1,$C36:$AL36)</f>
        <v>-681428.16462112</v>
      </c>
      <c r="AO36" s="52" t="n">
        <f aca="false">SUMIF($C$4:$AL$4,2,$C36:$AL36)</f>
        <v>-396562.835785271</v>
      </c>
      <c r="AP36" s="52" t="n">
        <f aca="false">SUMIF($C$4:$AL$4,3,$C36:$AL36)</f>
        <v>-336410.251306277</v>
      </c>
    </row>
    <row r="38" customFormat="false" ht="15" hidden="false" customHeight="false" outlineLevel="0" collapsed="false">
      <c r="A38" s="9" t="s">
        <v>333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customFormat="false" ht="15" hidden="false" customHeight="false" outlineLevel="0" collapsed="false">
      <c r="A39" s="11" t="s">
        <v>334</v>
      </c>
      <c r="B39" s="14" t="s">
        <v>165</v>
      </c>
      <c r="C39" s="40" t="n">
        <f aca="false">IF(C$3=1,Inputs!$C$95,0)</f>
        <v>750000</v>
      </c>
      <c r="D39" s="40" t="n">
        <f aca="false">IF(D$3=1,Inputs!$C$95,0)</f>
        <v>0</v>
      </c>
      <c r="E39" s="40" t="n">
        <f aca="false">IF(E$3=1,Inputs!$C$95,0)</f>
        <v>0</v>
      </c>
      <c r="F39" s="40" t="n">
        <f aca="false">IF(F$3=1,Inputs!$C$95,0)</f>
        <v>0</v>
      </c>
      <c r="G39" s="40" t="n">
        <f aca="false">IF(G$3=1,Inputs!$C$95,0)</f>
        <v>0</v>
      </c>
      <c r="H39" s="40" t="n">
        <f aca="false">IF(H$3=1,Inputs!$C$95,0)</f>
        <v>0</v>
      </c>
      <c r="I39" s="40" t="n">
        <f aca="false">IF(I$3=1,Inputs!$C$95,0)</f>
        <v>0</v>
      </c>
      <c r="J39" s="40" t="n">
        <f aca="false">IF(J$3=1,Inputs!$C$95,0)</f>
        <v>0</v>
      </c>
      <c r="K39" s="40" t="n">
        <f aca="false">IF(K$3=1,Inputs!$C$95,0)</f>
        <v>0</v>
      </c>
      <c r="L39" s="40" t="n">
        <f aca="false">IF(L$3=1,Inputs!$C$95,0)</f>
        <v>0</v>
      </c>
      <c r="M39" s="40" t="n">
        <f aca="false">IF(M$3=1,Inputs!$C$95,0)</f>
        <v>0</v>
      </c>
      <c r="N39" s="40" t="n">
        <f aca="false">IF(N$3=1,Inputs!$C$95,0)</f>
        <v>0</v>
      </c>
      <c r="O39" s="40" t="n">
        <f aca="false">IF(O$3=1,Inputs!$C$95,0)</f>
        <v>0</v>
      </c>
      <c r="P39" s="40" t="n">
        <f aca="false">IF(P$3=1,Inputs!$C$95,0)</f>
        <v>0</v>
      </c>
      <c r="Q39" s="40" t="n">
        <f aca="false">IF(Q$3=1,Inputs!$C$95,0)</f>
        <v>0</v>
      </c>
      <c r="R39" s="40" t="n">
        <f aca="false">IF(R$3=1,Inputs!$C$95,0)</f>
        <v>0</v>
      </c>
      <c r="S39" s="40" t="n">
        <f aca="false">IF(S$3=1,Inputs!$C$95,0)</f>
        <v>0</v>
      </c>
      <c r="T39" s="40" t="n">
        <f aca="false">IF(T$3=1,Inputs!$C$95,0)</f>
        <v>0</v>
      </c>
      <c r="U39" s="40" t="n">
        <f aca="false">IF(U$3=1,Inputs!$C$95,0)</f>
        <v>0</v>
      </c>
      <c r="V39" s="40" t="n">
        <f aca="false">IF(V$3=1,Inputs!$C$95,0)</f>
        <v>0</v>
      </c>
      <c r="W39" s="40" t="n">
        <f aca="false">IF(W$3=1,Inputs!$C$95,0)</f>
        <v>0</v>
      </c>
      <c r="X39" s="40" t="n">
        <f aca="false">IF(X$3=1,Inputs!$C$95,0)</f>
        <v>0</v>
      </c>
      <c r="Y39" s="40" t="n">
        <f aca="false">IF(Y$3=1,Inputs!$C$95,0)</f>
        <v>0</v>
      </c>
      <c r="Z39" s="40" t="n">
        <f aca="false">IF(Z$3=1,Inputs!$C$95,0)</f>
        <v>0</v>
      </c>
      <c r="AA39" s="40" t="n">
        <f aca="false">IF(AA$3=1,Inputs!$C$95,0)</f>
        <v>0</v>
      </c>
      <c r="AB39" s="40" t="n">
        <f aca="false">IF(AB$3=1,Inputs!$C$95,0)</f>
        <v>0</v>
      </c>
      <c r="AC39" s="40" t="n">
        <f aca="false">IF(AC$3=1,Inputs!$C$95,0)</f>
        <v>0</v>
      </c>
      <c r="AD39" s="40" t="n">
        <f aca="false">IF(AD$3=1,Inputs!$C$95,0)</f>
        <v>0</v>
      </c>
      <c r="AE39" s="40" t="n">
        <f aca="false">IF(AE$3=1,Inputs!$C$95,0)</f>
        <v>0</v>
      </c>
      <c r="AF39" s="40" t="n">
        <f aca="false">IF(AF$3=1,Inputs!$C$95,0)</f>
        <v>0</v>
      </c>
      <c r="AG39" s="40" t="n">
        <f aca="false">IF(AG$3=1,Inputs!$C$95,0)</f>
        <v>0</v>
      </c>
      <c r="AH39" s="40" t="n">
        <f aca="false">IF(AH$3=1,Inputs!$C$95,0)</f>
        <v>0</v>
      </c>
      <c r="AI39" s="40" t="n">
        <f aca="false">IF(AI$3=1,Inputs!$C$95,0)</f>
        <v>0</v>
      </c>
      <c r="AJ39" s="40" t="n">
        <f aca="false">IF(AJ$3=1,Inputs!$C$95,0)</f>
        <v>0</v>
      </c>
      <c r="AK39" s="40" t="n">
        <f aca="false">IF(AK$3=1,Inputs!$C$95,0)</f>
        <v>0</v>
      </c>
      <c r="AL39" s="40" t="n">
        <f aca="false">IF(AL$3=1,Inputs!$C$95,0)</f>
        <v>0</v>
      </c>
      <c r="AN39" s="47" t="n">
        <f aca="false">SUMIF($C$4:$AL$4,1,$C39:$AL39)</f>
        <v>750000</v>
      </c>
      <c r="AO39" s="47" t="n">
        <f aca="false">SUMIF($C$4:$AL$4,2,$C39:$AL39)</f>
        <v>0</v>
      </c>
      <c r="AP39" s="47" t="n">
        <f aca="false">SUMIF($C$4:$AL$4,3,$C39:$AL39)</f>
        <v>0</v>
      </c>
    </row>
    <row r="40" customFormat="false" ht="15" hidden="false" customHeight="false" outlineLevel="0" collapsed="false">
      <c r="A40" s="23" t="s">
        <v>335</v>
      </c>
      <c r="B40" s="14" t="s">
        <v>165</v>
      </c>
      <c r="C40" s="51" t="n">
        <f aca="false">C36+C39</f>
        <v>688200</v>
      </c>
      <c r="D40" s="51" t="n">
        <f aca="false">C40+D36+D39</f>
        <v>626400</v>
      </c>
      <c r="E40" s="51" t="n">
        <f aca="false">D40+E36+E39</f>
        <v>564200</v>
      </c>
      <c r="F40" s="51" t="n">
        <f aca="false">E40+F36+F39</f>
        <v>502000</v>
      </c>
      <c r="G40" s="51" t="n">
        <f aca="false">F40+G36+G39</f>
        <v>439800</v>
      </c>
      <c r="H40" s="51" t="n">
        <f aca="false">G40+H36+H39</f>
        <v>377600</v>
      </c>
      <c r="I40" s="51" t="n">
        <f aca="false">H40+I36+I39</f>
        <v>322400</v>
      </c>
      <c r="J40" s="51" t="n">
        <f aca="false">I40+J36+J39</f>
        <v>268718</v>
      </c>
      <c r="K40" s="51" t="n">
        <f aca="false">J40+K36+K39</f>
        <v>216523.64</v>
      </c>
      <c r="L40" s="51" t="n">
        <f aca="false">K40+L36+L39</f>
        <v>165787.1672</v>
      </c>
      <c r="M40" s="51" t="n">
        <f aca="false">L40+M36+M39</f>
        <v>116479.423856</v>
      </c>
      <c r="N40" s="51" t="n">
        <f aca="false">M40+N36+N39</f>
        <v>68571.83537888</v>
      </c>
      <c r="O40" s="51" t="n">
        <f aca="false">N40+O36+O39</f>
        <v>39497.6424189011</v>
      </c>
      <c r="P40" s="51" t="n">
        <f aca="false">O40+P36+P39</f>
        <v>12570.1333181218</v>
      </c>
      <c r="Q40" s="51" t="n">
        <f aca="false">P40+Q36+Q39</f>
        <v>-12253.6256006419</v>
      </c>
      <c r="R40" s="51" t="n">
        <f aca="false">Q40+R36+R39</f>
        <v>-35015.7093410303</v>
      </c>
      <c r="S40" s="51" t="n">
        <f aca="false">R40+S36+S39</f>
        <v>-55757.351406611</v>
      </c>
      <c r="T40" s="51" t="n">
        <f aca="false">S40+T36+T39</f>
        <v>-72873.9606308801</v>
      </c>
      <c r="U40" s="51" t="n">
        <f aca="false">T40+U36+U39</f>
        <v>-118745.137670664</v>
      </c>
      <c r="V40" s="51" t="n">
        <f aca="false">U40+V36+V39</f>
        <v>-161069.691169652</v>
      </c>
      <c r="W40" s="51" t="n">
        <f aca="false">V40+W36+W39</f>
        <v>-199885.65359866</v>
      </c>
      <c r="X40" s="51" t="n">
        <f aca="false">W40+X36+X39</f>
        <v>-246010.296779088</v>
      </c>
      <c r="Y40" s="51" t="n">
        <f aca="false">X40+Y36+Y39</f>
        <v>-288700.147095908</v>
      </c>
      <c r="Z40" s="51" t="n">
        <f aca="false">Y40+Z36+Z39</f>
        <v>-327991.000406391</v>
      </c>
      <c r="AA40" s="51" t="n">
        <f aca="false">Z40+AA36+AA39</f>
        <v>-369657.936650664</v>
      </c>
      <c r="AB40" s="51" t="n">
        <f aca="false">AA40+AB36+AB39</f>
        <v>-407189.284170052</v>
      </c>
      <c r="AC40" s="51" t="n">
        <f aca="false">AB40+AC36+AC39</f>
        <v>-438989.854739053</v>
      </c>
      <c r="AD40" s="51" t="n">
        <f aca="false">AC40+AD36+AD39</f>
        <v>-480788.463896673</v>
      </c>
      <c r="AE40" s="51" t="n">
        <f aca="false">AD40+AE36+AE39</f>
        <v>-516952.950871141</v>
      </c>
      <c r="AF40" s="51" t="n">
        <f aca="false">AE40+AF36+AF39</f>
        <v>-547530.198106119</v>
      </c>
      <c r="AG40" s="51" t="n">
        <f aca="false">AF40+AG36+AG39</f>
        <v>-583346.150396398</v>
      </c>
      <c r="AH40" s="51" t="n">
        <f aca="false">AG40+AH36+AH39</f>
        <v>-613665.833640872</v>
      </c>
      <c r="AI40" s="51" t="n">
        <f aca="false">AH40+AI36+AI39</f>
        <v>-636888.373220456</v>
      </c>
      <c r="AJ40" s="51" t="n">
        <f aca="false">AI40+AJ36+AJ39</f>
        <v>-653057.012008448</v>
      </c>
      <c r="AK40" s="51" t="n">
        <f aca="false">AJ40+AK36+AK39</f>
        <v>-662214.12802068</v>
      </c>
      <c r="AL40" s="51" t="n">
        <f aca="false">AK40+AL36+AL39</f>
        <v>-664401.251712668</v>
      </c>
      <c r="AN40" s="52" t="n">
        <f aca="false">INDEX($C40:$AL40,1,12)</f>
        <v>68571.83537888</v>
      </c>
      <c r="AO40" s="52" t="n">
        <f aca="false">INDEX($C40:$AL40,1,24)</f>
        <v>-327991.000406391</v>
      </c>
      <c r="AP40" s="52" t="n">
        <f aca="false">INDEX($C40:$AL40,1,36)</f>
        <v>-664401.251712668</v>
      </c>
    </row>
    <row r="41" customFormat="false" ht="15" hidden="false" customHeight="false" outlineLevel="0" collapsed="false">
      <c r="A41" s="11" t="s">
        <v>188</v>
      </c>
      <c r="B41" s="14" t="s">
        <v>165</v>
      </c>
      <c r="C41" s="40" t="n">
        <f aca="false">IF(C$3=Inputs!$C$97,Inputs!$C$96,0)</f>
        <v>0</v>
      </c>
      <c r="D41" s="40" t="n">
        <f aca="false">IF(D$3=Inputs!$C$97,Inputs!$C$96,0)</f>
        <v>0</v>
      </c>
      <c r="E41" s="40" t="n">
        <f aca="false">IF(E$3=Inputs!$C$97,Inputs!$C$96,0)</f>
        <v>0</v>
      </c>
      <c r="F41" s="40" t="n">
        <f aca="false">IF(F$3=Inputs!$C$97,Inputs!$C$96,0)</f>
        <v>0</v>
      </c>
      <c r="G41" s="40" t="n">
        <f aca="false">IF(G$3=Inputs!$C$97,Inputs!$C$96,0)</f>
        <v>0</v>
      </c>
      <c r="H41" s="40" t="n">
        <f aca="false">IF(H$3=Inputs!$C$97,Inputs!$C$96,0)</f>
        <v>0</v>
      </c>
      <c r="I41" s="40" t="n">
        <f aca="false">IF(I$3=Inputs!$C$97,Inputs!$C$96,0)</f>
        <v>0</v>
      </c>
      <c r="J41" s="40" t="n">
        <f aca="false">IF(J$3=Inputs!$C$97,Inputs!$C$96,0)</f>
        <v>0</v>
      </c>
      <c r="K41" s="40" t="n">
        <f aca="false">IF(K$3=Inputs!$C$97,Inputs!$C$96,0)</f>
        <v>0</v>
      </c>
      <c r="L41" s="40" t="n">
        <f aca="false">IF(L$3=Inputs!$C$97,Inputs!$C$96,0)</f>
        <v>0</v>
      </c>
      <c r="M41" s="40" t="n">
        <f aca="false">IF(M$3=Inputs!$C$97,Inputs!$C$96,0)</f>
        <v>0</v>
      </c>
      <c r="N41" s="40" t="n">
        <f aca="false">IF(N$3=Inputs!$C$97,Inputs!$C$96,0)</f>
        <v>0</v>
      </c>
      <c r="O41" s="40" t="n">
        <f aca="false">IF(O$3=Inputs!$C$97,Inputs!$C$96,0)</f>
        <v>0</v>
      </c>
      <c r="P41" s="40" t="n">
        <f aca="false">IF(P$3=Inputs!$C$97,Inputs!$C$96,0)</f>
        <v>0</v>
      </c>
      <c r="Q41" s="40" t="n">
        <f aca="false">IF(Q$3=Inputs!$C$97,Inputs!$C$96,0)</f>
        <v>0</v>
      </c>
      <c r="R41" s="40" t="n">
        <f aca="false">IF(R$3=Inputs!$C$97,Inputs!$C$96,0)</f>
        <v>0</v>
      </c>
      <c r="S41" s="40" t="n">
        <f aca="false">IF(S$3=Inputs!$C$97,Inputs!$C$96,0)</f>
        <v>0</v>
      </c>
      <c r="T41" s="40" t="n">
        <f aca="false">IF(T$3=Inputs!$C$97,Inputs!$C$96,0)</f>
        <v>3000000</v>
      </c>
      <c r="U41" s="40" t="n">
        <f aca="false">IF(U$3=Inputs!$C$97,Inputs!$C$96,0)</f>
        <v>0</v>
      </c>
      <c r="V41" s="40" t="n">
        <f aca="false">IF(V$3=Inputs!$C$97,Inputs!$C$96,0)</f>
        <v>0</v>
      </c>
      <c r="W41" s="40" t="n">
        <f aca="false">IF(W$3=Inputs!$C$97,Inputs!$C$96,0)</f>
        <v>0</v>
      </c>
      <c r="X41" s="40" t="n">
        <f aca="false">IF(X$3=Inputs!$C$97,Inputs!$C$96,0)</f>
        <v>0</v>
      </c>
      <c r="Y41" s="40" t="n">
        <f aca="false">IF(Y$3=Inputs!$C$97,Inputs!$C$96,0)</f>
        <v>0</v>
      </c>
      <c r="Z41" s="40" t="n">
        <f aca="false">IF(Z$3=Inputs!$C$97,Inputs!$C$96,0)</f>
        <v>0</v>
      </c>
      <c r="AA41" s="40" t="n">
        <f aca="false">IF(AA$3=Inputs!$C$97,Inputs!$C$96,0)</f>
        <v>0</v>
      </c>
      <c r="AB41" s="40" t="n">
        <f aca="false">IF(AB$3=Inputs!$C$97,Inputs!$C$96,0)</f>
        <v>0</v>
      </c>
      <c r="AC41" s="40" t="n">
        <f aca="false">IF(AC$3=Inputs!$C$97,Inputs!$C$96,0)</f>
        <v>0</v>
      </c>
      <c r="AD41" s="40" t="n">
        <f aca="false">IF(AD$3=Inputs!$C$97,Inputs!$C$96,0)</f>
        <v>0</v>
      </c>
      <c r="AE41" s="40" t="n">
        <f aca="false">IF(AE$3=Inputs!$C$97,Inputs!$C$96,0)</f>
        <v>0</v>
      </c>
      <c r="AF41" s="40" t="n">
        <f aca="false">IF(AF$3=Inputs!$C$97,Inputs!$C$96,0)</f>
        <v>0</v>
      </c>
      <c r="AG41" s="40" t="n">
        <f aca="false">IF(AG$3=Inputs!$C$97,Inputs!$C$96,0)</f>
        <v>0</v>
      </c>
      <c r="AH41" s="40" t="n">
        <f aca="false">IF(AH$3=Inputs!$C$97,Inputs!$C$96,0)</f>
        <v>0</v>
      </c>
      <c r="AI41" s="40" t="n">
        <f aca="false">IF(AI$3=Inputs!$C$97,Inputs!$C$96,0)</f>
        <v>0</v>
      </c>
      <c r="AJ41" s="40" t="n">
        <f aca="false">IF(AJ$3=Inputs!$C$97,Inputs!$C$96,0)</f>
        <v>0</v>
      </c>
      <c r="AK41" s="40" t="n">
        <f aca="false">IF(AK$3=Inputs!$C$97,Inputs!$C$96,0)</f>
        <v>0</v>
      </c>
      <c r="AL41" s="40" t="n">
        <f aca="false">IF(AL$3=Inputs!$C$97,Inputs!$C$96,0)</f>
        <v>0</v>
      </c>
      <c r="AN41" s="47" t="n">
        <f aca="false">SUMIF($C$4:$AL$4,1,$C41:$AL41)</f>
        <v>0</v>
      </c>
      <c r="AO41" s="47" t="n">
        <f aca="false">SUMIF($C$4:$AL$4,2,$C41:$AL41)</f>
        <v>3000000</v>
      </c>
      <c r="AP41" s="47" t="n">
        <f aca="false">SUMIF($C$4:$AL$4,3,$C41:$AL41)</f>
        <v>0</v>
      </c>
    </row>
    <row r="42" customFormat="false" ht="15" hidden="false" customHeight="false" outlineLevel="0" collapsed="false">
      <c r="A42" s="11" t="s">
        <v>336</v>
      </c>
      <c r="B42" s="14" t="s">
        <v>165</v>
      </c>
      <c r="C42" s="40" t="n">
        <f aca="false">C36+C39+C41</f>
        <v>688200</v>
      </c>
      <c r="D42" s="40" t="n">
        <f aca="false">C42+D36+D39+D41</f>
        <v>626400</v>
      </c>
      <c r="E42" s="40" t="n">
        <f aca="false">D42+E36+E39+E41</f>
        <v>564200</v>
      </c>
      <c r="F42" s="40" t="n">
        <f aca="false">E42+F36+F39+F41</f>
        <v>502000</v>
      </c>
      <c r="G42" s="40" t="n">
        <f aca="false">F42+G36+G39+G41</f>
        <v>439800</v>
      </c>
      <c r="H42" s="40" t="n">
        <f aca="false">G42+H36+H39+H41</f>
        <v>377600</v>
      </c>
      <c r="I42" s="40" t="n">
        <f aca="false">H42+I36+I39+I41</f>
        <v>322400</v>
      </c>
      <c r="J42" s="40" t="n">
        <f aca="false">I42+J36+J39+J41</f>
        <v>268718</v>
      </c>
      <c r="K42" s="40" t="n">
        <f aca="false">J42+K36+K39+K41</f>
        <v>216523.64</v>
      </c>
      <c r="L42" s="40" t="n">
        <f aca="false">K42+L36+L39+L41</f>
        <v>165787.1672</v>
      </c>
      <c r="M42" s="40" t="n">
        <f aca="false">L42+M36+M39+M41</f>
        <v>116479.423856</v>
      </c>
      <c r="N42" s="40" t="n">
        <f aca="false">M42+N36+N39+N41</f>
        <v>68571.83537888</v>
      </c>
      <c r="O42" s="40" t="n">
        <f aca="false">N42+O36+O39+O41</f>
        <v>39497.6424189011</v>
      </c>
      <c r="P42" s="40" t="n">
        <f aca="false">O42+P36+P39+P41</f>
        <v>12570.1333181218</v>
      </c>
      <c r="Q42" s="40" t="n">
        <f aca="false">P42+Q36+Q39+Q41</f>
        <v>-12253.6256006419</v>
      </c>
      <c r="R42" s="40" t="n">
        <f aca="false">Q42+R36+R39+R41</f>
        <v>-35015.7093410303</v>
      </c>
      <c r="S42" s="40" t="n">
        <f aca="false">R42+S36+S39+S41</f>
        <v>-55757.351406611</v>
      </c>
      <c r="T42" s="40" t="n">
        <f aca="false">S42+T36+T39+T41</f>
        <v>2927126.03936912</v>
      </c>
      <c r="U42" s="40" t="n">
        <f aca="false">T42+U36+U39+U41</f>
        <v>2881254.86232934</v>
      </c>
      <c r="V42" s="40" t="n">
        <f aca="false">U42+V36+V39+V41</f>
        <v>2838930.30883035</v>
      </c>
      <c r="W42" s="40" t="n">
        <f aca="false">V42+W36+W39+W41</f>
        <v>2800114.34640134</v>
      </c>
      <c r="X42" s="40" t="n">
        <f aca="false">W42+X36+X39+X41</f>
        <v>2753989.70322091</v>
      </c>
      <c r="Y42" s="40" t="n">
        <f aca="false">X42+Y36+Y39+Y41</f>
        <v>2711299.85290409</v>
      </c>
      <c r="Z42" s="40" t="n">
        <f aca="false">Y42+Z36+Z39+Z41</f>
        <v>2672008.99959361</v>
      </c>
      <c r="AA42" s="40" t="n">
        <f aca="false">Z42+AA36+AA39+AA41</f>
        <v>2630342.06334934</v>
      </c>
      <c r="AB42" s="40" t="n">
        <f aca="false">AA42+AB36+AB39+AB41</f>
        <v>2592810.71582995</v>
      </c>
      <c r="AC42" s="40" t="n">
        <f aca="false">AB42+AC36+AC39+AC41</f>
        <v>2561010.14526095</v>
      </c>
      <c r="AD42" s="40" t="n">
        <f aca="false">AC42+AD36+AD39+AD41</f>
        <v>2519211.53610333</v>
      </c>
      <c r="AE42" s="40" t="n">
        <f aca="false">AD42+AE36+AE39+AE41</f>
        <v>2483047.04912886</v>
      </c>
      <c r="AF42" s="40" t="n">
        <f aca="false">AE42+AF36+AF39+AF41</f>
        <v>2452469.80189388</v>
      </c>
      <c r="AG42" s="40" t="n">
        <f aca="false">AF42+AG36+AG39+AG41</f>
        <v>2416653.8496036</v>
      </c>
      <c r="AH42" s="40" t="n">
        <f aca="false">AG42+AH36+AH39+AH41</f>
        <v>2386334.16635913</v>
      </c>
      <c r="AI42" s="40" t="n">
        <f aca="false">AH42+AI36+AI39+AI41</f>
        <v>2363111.62677954</v>
      </c>
      <c r="AJ42" s="40" t="n">
        <f aca="false">AI42+AJ36+AJ39+AJ41</f>
        <v>2346942.98799155</v>
      </c>
      <c r="AK42" s="40" t="n">
        <f aca="false">AJ42+AK36+AK39+AK41</f>
        <v>2337785.87197932</v>
      </c>
      <c r="AL42" s="40" t="n">
        <f aca="false">AK42+AL36+AL39+AL41</f>
        <v>2335598.74828733</v>
      </c>
      <c r="AN42" s="47" t="n">
        <f aca="false">INDEX($C42:$AL42,1,12)</f>
        <v>68571.83537888</v>
      </c>
      <c r="AO42" s="47" t="n">
        <f aca="false">INDEX($C42:$AL42,1,24)</f>
        <v>2672008.99959361</v>
      </c>
      <c r="AP42" s="47" t="n">
        <f aca="false">INDEX($C42:$AL42,1,36)</f>
        <v>2335598.74828733</v>
      </c>
    </row>
    <row r="43" customFormat="false" ht="15" hidden="false" customHeight="false" outlineLevel="0" collapsed="false">
      <c r="A43" s="7" t="s">
        <v>337</v>
      </c>
      <c r="B43" s="14" t="s">
        <v>100</v>
      </c>
      <c r="C43" s="53" t="n">
        <f aca="false">IF(C40&lt;0,C$3,99)</f>
        <v>99</v>
      </c>
      <c r="D43" s="53" t="n">
        <f aca="false">IF(D40&lt;0,D$3,99)</f>
        <v>99</v>
      </c>
      <c r="E43" s="53" t="n">
        <f aca="false">IF(E40&lt;0,E$3,99)</f>
        <v>99</v>
      </c>
      <c r="F43" s="53" t="n">
        <f aca="false">IF(F40&lt;0,F$3,99)</f>
        <v>99</v>
      </c>
      <c r="G43" s="53" t="n">
        <f aca="false">IF(G40&lt;0,G$3,99)</f>
        <v>99</v>
      </c>
      <c r="H43" s="53" t="n">
        <f aca="false">IF(H40&lt;0,H$3,99)</f>
        <v>99</v>
      </c>
      <c r="I43" s="53" t="n">
        <f aca="false">IF(I40&lt;0,I$3,99)</f>
        <v>99</v>
      </c>
      <c r="J43" s="53" t="n">
        <f aca="false">IF(J40&lt;0,J$3,99)</f>
        <v>99</v>
      </c>
      <c r="K43" s="53" t="n">
        <f aca="false">IF(K40&lt;0,K$3,99)</f>
        <v>99</v>
      </c>
      <c r="L43" s="53" t="n">
        <f aca="false">IF(L40&lt;0,L$3,99)</f>
        <v>99</v>
      </c>
      <c r="M43" s="53" t="n">
        <f aca="false">IF(M40&lt;0,M$3,99)</f>
        <v>99</v>
      </c>
      <c r="N43" s="53" t="n">
        <f aca="false">IF(N40&lt;0,N$3,99)</f>
        <v>99</v>
      </c>
      <c r="O43" s="53" t="n">
        <f aca="false">IF(O40&lt;0,O$3,99)</f>
        <v>99</v>
      </c>
      <c r="P43" s="53" t="n">
        <f aca="false">IF(P40&lt;0,P$3,99)</f>
        <v>99</v>
      </c>
      <c r="Q43" s="53" t="n">
        <f aca="false">IF(Q40&lt;0,Q$3,99)</f>
        <v>15</v>
      </c>
      <c r="R43" s="53" t="n">
        <f aca="false">IF(R40&lt;0,R$3,99)</f>
        <v>16</v>
      </c>
      <c r="S43" s="53" t="n">
        <f aca="false">IF(S40&lt;0,S$3,99)</f>
        <v>17</v>
      </c>
      <c r="T43" s="53" t="n">
        <f aca="false">IF(T40&lt;0,T$3,99)</f>
        <v>18</v>
      </c>
      <c r="U43" s="53" t="n">
        <f aca="false">IF(U40&lt;0,U$3,99)</f>
        <v>19</v>
      </c>
      <c r="V43" s="53" t="n">
        <f aca="false">IF(V40&lt;0,V$3,99)</f>
        <v>20</v>
      </c>
      <c r="W43" s="53" t="n">
        <f aca="false">IF(W40&lt;0,W$3,99)</f>
        <v>21</v>
      </c>
      <c r="X43" s="53" t="n">
        <f aca="false">IF(X40&lt;0,X$3,99)</f>
        <v>22</v>
      </c>
      <c r="Y43" s="53" t="n">
        <f aca="false">IF(Y40&lt;0,Y$3,99)</f>
        <v>23</v>
      </c>
      <c r="Z43" s="53" t="n">
        <f aca="false">IF(Z40&lt;0,Z$3,99)</f>
        <v>24</v>
      </c>
      <c r="AA43" s="53" t="n">
        <f aca="false">IF(AA40&lt;0,AA$3,99)</f>
        <v>25</v>
      </c>
      <c r="AB43" s="53" t="n">
        <f aca="false">IF(AB40&lt;0,AB$3,99)</f>
        <v>26</v>
      </c>
      <c r="AC43" s="53" t="n">
        <f aca="false">IF(AC40&lt;0,AC$3,99)</f>
        <v>27</v>
      </c>
      <c r="AD43" s="53" t="n">
        <f aca="false">IF(AD40&lt;0,AD$3,99)</f>
        <v>28</v>
      </c>
      <c r="AE43" s="53" t="n">
        <f aca="false">IF(AE40&lt;0,AE$3,99)</f>
        <v>29</v>
      </c>
      <c r="AF43" s="53" t="n">
        <f aca="false">IF(AF40&lt;0,AF$3,99)</f>
        <v>30</v>
      </c>
      <c r="AG43" s="53" t="n">
        <f aca="false">IF(AG40&lt;0,AG$3,99)</f>
        <v>31</v>
      </c>
      <c r="AH43" s="53" t="n">
        <f aca="false">IF(AH40&lt;0,AH$3,99)</f>
        <v>32</v>
      </c>
      <c r="AI43" s="53" t="n">
        <f aca="false">IF(AI40&lt;0,AI$3,99)</f>
        <v>33</v>
      </c>
      <c r="AJ43" s="53" t="n">
        <f aca="false">IF(AJ40&lt;0,AJ$3,99)</f>
        <v>34</v>
      </c>
      <c r="AK43" s="53" t="n">
        <f aca="false">IF(AK40&lt;0,AK$3,99)</f>
        <v>35</v>
      </c>
      <c r="AL43" s="53" t="n">
        <f aca="false">IF(AL40&lt;0,AL$3,99)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2026-10-24T07:22:49Z</dcterms:created>
  <dc:creator>openpyxl</dc:creator>
  <dc:description/>
  <dc:language>en-US</dc:language>
  <cp:lastModifiedBy/>
  <dcterms:modified xsi:type="dcterms:W3CDTF">2026-10-24T07:22:49Z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